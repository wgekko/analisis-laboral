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desocupacion\"/>
    </mc:Choice>
  </mc:AlternateContent>
  <bookViews>
    <workbookView xWindow="0" yWindow="0" windowWidth="21580" windowHeight="8150"/>
  </bookViews>
  <sheets>
    <sheet name="BEL (2)" sheetId="3" r:id="rId1"/>
  </sheets>
  <definedNames>
    <definedName name="_xlnm.Print_Area" localSheetId="0">'BEL (2)'!$A$1:$BE$49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Y40" i="3" l="1"/>
  <c r="AZ40" i="3" s="1"/>
  <c r="AX40" i="3"/>
  <c r="AX39" i="3"/>
  <c r="AY39" i="3" s="1"/>
  <c r="AZ39" i="3" s="1"/>
  <c r="AX38" i="3"/>
  <c r="AY38" i="3" s="1"/>
  <c r="AZ38" i="3" s="1"/>
  <c r="AZ37" i="3"/>
  <c r="AY37" i="3"/>
  <c r="AX37" i="3"/>
  <c r="AX36" i="3"/>
  <c r="AY36" i="3" s="1"/>
  <c r="AZ36" i="3" s="1"/>
  <c r="AX34" i="3"/>
  <c r="AY34" i="3" s="1"/>
  <c r="AZ34" i="3" s="1"/>
  <c r="AX33" i="3"/>
  <c r="AY33" i="3" s="1"/>
  <c r="AZ33" i="3" s="1"/>
  <c r="AX32" i="3"/>
  <c r="AY32" i="3" s="1"/>
  <c r="AZ32" i="3" s="1"/>
  <c r="AY31" i="3"/>
  <c r="AZ31" i="3" s="1"/>
  <c r="AX31" i="3"/>
  <c r="AX29" i="3"/>
  <c r="AY29" i="3" s="1"/>
  <c r="AZ29" i="3" s="1"/>
  <c r="AX28" i="3"/>
  <c r="AY28" i="3" s="1"/>
  <c r="AZ28" i="3" s="1"/>
  <c r="AY27" i="3"/>
  <c r="AZ27" i="3" s="1"/>
  <c r="AX27" i="3"/>
  <c r="AX26" i="3"/>
  <c r="AY26" i="3" s="1"/>
  <c r="AZ26" i="3" s="1"/>
  <c r="AX24" i="3"/>
  <c r="AY24" i="3" s="1"/>
  <c r="AZ24" i="3" s="1"/>
  <c r="AX23" i="3"/>
  <c r="AY23" i="3" s="1"/>
  <c r="AZ23" i="3" s="1"/>
  <c r="AX22" i="3"/>
  <c r="AY22" i="3" s="1"/>
  <c r="AZ22" i="3" s="1"/>
  <c r="AX21" i="3"/>
  <c r="AY21" i="3" s="1"/>
  <c r="AZ21" i="3" s="1"/>
  <c r="AX20" i="3"/>
  <c r="AY20" i="3" s="1"/>
  <c r="AZ20" i="3" s="1"/>
  <c r="AY19" i="3"/>
  <c r="AZ19" i="3" s="1"/>
  <c r="AX19" i="3"/>
  <c r="AX18" i="3"/>
  <c r="AY18" i="3" s="1"/>
  <c r="AZ18" i="3" s="1"/>
  <c r="AX17" i="3"/>
  <c r="AY17" i="3" s="1"/>
  <c r="AZ17" i="3" s="1"/>
  <c r="AX16" i="3"/>
  <c r="AY16" i="3" s="1"/>
  <c r="AZ16" i="3" s="1"/>
  <c r="AX15" i="3"/>
  <c r="AY15" i="3" s="1"/>
  <c r="AZ15" i="3" s="1"/>
  <c r="AX14" i="3"/>
  <c r="AY14" i="3" s="1"/>
  <c r="AZ14" i="3" s="1"/>
  <c r="AX13" i="3"/>
  <c r="AY13" i="3" s="1"/>
  <c r="AZ13" i="3" s="1"/>
  <c r="AX12" i="3"/>
  <c r="AY12" i="3" s="1"/>
  <c r="AZ12" i="3" s="1"/>
  <c r="AX10" i="3"/>
  <c r="AY10" i="3" s="1"/>
  <c r="AZ10" i="3" s="1"/>
  <c r="AX9" i="3"/>
  <c r="AY9" i="3" s="1"/>
  <c r="AZ9" i="3" s="1"/>
  <c r="AX8" i="3"/>
  <c r="AY8" i="3" s="1"/>
  <c r="AZ8" i="3" s="1"/>
  <c r="AY7" i="3"/>
  <c r="AZ7" i="3" s="1"/>
  <c r="AX7" i="3"/>
  <c r="AX5" i="3"/>
  <c r="AY5" i="3" s="1"/>
  <c r="AZ5" i="3" s="1"/>
  <c r="R40" i="3"/>
  <c r="R39" i="3"/>
  <c r="R38" i="3"/>
  <c r="R37" i="3"/>
  <c r="R36" i="3"/>
  <c r="R34" i="3"/>
  <c r="R33" i="3"/>
  <c r="R32" i="3"/>
  <c r="R31" i="3"/>
  <c r="R29" i="3"/>
  <c r="R28" i="3"/>
  <c r="R27" i="3"/>
  <c r="R26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0" i="3"/>
  <c r="R9" i="3"/>
  <c r="R8" i="3"/>
  <c r="R7" i="3"/>
  <c r="R5" i="3"/>
</calcChain>
</file>

<file path=xl/sharedStrings.xml><?xml version="1.0" encoding="utf-8"?>
<sst xmlns="http://schemas.openxmlformats.org/spreadsheetml/2006/main" count="135" uniqueCount="134">
  <si>
    <t>Total</t>
  </si>
  <si>
    <t>Categoría ocupacional</t>
  </si>
  <si>
    <t>Patrón</t>
  </si>
  <si>
    <t>Cuenta propia</t>
  </si>
  <si>
    <t>Obrero o empleado</t>
  </si>
  <si>
    <t>Trabajador familiar</t>
  </si>
  <si>
    <t>Ramas de actividad</t>
  </si>
  <si>
    <t>Actividades primarias</t>
  </si>
  <si>
    <t>Industria manufacturera</t>
  </si>
  <si>
    <t>Construcción</t>
  </si>
  <si>
    <t>Comercio</t>
  </si>
  <si>
    <t>Hoteles y restaurantes</t>
  </si>
  <si>
    <t>Transporte, almacenaje y comunicaciones</t>
  </si>
  <si>
    <t>Serv financieros, inmobiliarios, alquileres y empresariales</t>
  </si>
  <si>
    <t>Enseñanza</t>
  </si>
  <si>
    <t>Servicios sociales y de salud</t>
  </si>
  <si>
    <t>Otras ramas</t>
  </si>
  <si>
    <t>Sin especificar</t>
  </si>
  <si>
    <t>Tamaño del establecimiento</t>
  </si>
  <si>
    <t>Hasta 5 personas</t>
  </si>
  <si>
    <t>De 6 a 40 personas</t>
  </si>
  <si>
    <t>Más de 40 personas</t>
  </si>
  <si>
    <t>Calificación de la tarea</t>
  </si>
  <si>
    <t>Profesional</t>
  </si>
  <si>
    <t>Técnica</t>
  </si>
  <si>
    <t>Operativa</t>
  </si>
  <si>
    <t>Sin calificación</t>
  </si>
  <si>
    <t>Mercado de trabajo - EPH</t>
  </si>
  <si>
    <t>1° Trim 06</t>
  </si>
  <si>
    <t>2° Trim 06</t>
  </si>
  <si>
    <t>3° Trim 06</t>
  </si>
  <si>
    <t>4° Trim 06</t>
  </si>
  <si>
    <t>1° Trim 07</t>
  </si>
  <si>
    <t>Notas:</t>
  </si>
  <si>
    <t>Ingreso per cápita familiar</t>
  </si>
  <si>
    <t>2do Quintil</t>
  </si>
  <si>
    <t>3er Quintil</t>
  </si>
  <si>
    <t>4to Quintil</t>
  </si>
  <si>
    <t>5to Quintil</t>
  </si>
  <si>
    <r>
      <t xml:space="preserve">Total aglomerados relevados </t>
    </r>
    <r>
      <rPr>
        <b/>
        <i/>
        <sz val="11"/>
        <color indexed="9"/>
        <rFont val="Arial"/>
        <family val="2"/>
      </rPr>
      <t>(en miles de personas)</t>
    </r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</si>
  <si>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</si>
  <si>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1. Experiencia laboral en los últimos tres años.</t>
  </si>
  <si>
    <t>Trabajo doméstico</t>
  </si>
  <si>
    <t>2° Trim 16</t>
  </si>
  <si>
    <r>
      <t xml:space="preserve">2° Trim 07 </t>
    </r>
    <r>
      <rPr>
        <b/>
        <vertAlign val="superscript"/>
        <sz val="12"/>
        <rFont val="Arial"/>
        <family val="2"/>
      </rPr>
      <t>2</t>
    </r>
  </si>
  <si>
    <r>
      <t xml:space="preserve">4° Trim 07 </t>
    </r>
    <r>
      <rPr>
        <b/>
        <vertAlign val="superscript"/>
        <sz val="12"/>
        <rFont val="Arial"/>
        <family val="2"/>
      </rPr>
      <t>2</t>
    </r>
  </si>
  <si>
    <r>
      <t xml:space="preserve">1° Trim 08 </t>
    </r>
    <r>
      <rPr>
        <b/>
        <vertAlign val="superscript"/>
        <sz val="12"/>
        <rFont val="Arial"/>
        <family val="2"/>
      </rPr>
      <t>2</t>
    </r>
  </si>
  <si>
    <r>
      <t xml:space="preserve">2° Trim 08 </t>
    </r>
    <r>
      <rPr>
        <b/>
        <vertAlign val="superscript"/>
        <sz val="12"/>
        <rFont val="Arial"/>
        <family val="2"/>
      </rPr>
      <t>2</t>
    </r>
  </si>
  <si>
    <r>
      <t xml:space="preserve">3° Trim 08 </t>
    </r>
    <r>
      <rPr>
        <b/>
        <vertAlign val="superscript"/>
        <sz val="12"/>
        <rFont val="Arial"/>
        <family val="2"/>
      </rPr>
      <t>2</t>
    </r>
  </si>
  <si>
    <r>
      <t xml:space="preserve">4° Trim 08 </t>
    </r>
    <r>
      <rPr>
        <b/>
        <vertAlign val="superscript"/>
        <sz val="12"/>
        <rFont val="Arial"/>
        <family val="2"/>
      </rPr>
      <t>2</t>
    </r>
  </si>
  <si>
    <r>
      <t xml:space="preserve">1° Trim 09 </t>
    </r>
    <r>
      <rPr>
        <b/>
        <vertAlign val="superscript"/>
        <sz val="12"/>
        <rFont val="Arial"/>
        <family val="2"/>
      </rPr>
      <t>2</t>
    </r>
  </si>
  <si>
    <r>
      <t xml:space="preserve">2° Trim 09 </t>
    </r>
    <r>
      <rPr>
        <b/>
        <vertAlign val="superscript"/>
        <sz val="12"/>
        <rFont val="Arial"/>
        <family val="2"/>
      </rPr>
      <t>2</t>
    </r>
  </si>
  <si>
    <r>
      <t xml:space="preserve">3° Trim 09 </t>
    </r>
    <r>
      <rPr>
        <b/>
        <vertAlign val="superscript"/>
        <sz val="12"/>
        <rFont val="Arial"/>
        <family val="2"/>
      </rPr>
      <t>2</t>
    </r>
  </si>
  <si>
    <r>
      <t xml:space="preserve">4° Trim 09 </t>
    </r>
    <r>
      <rPr>
        <b/>
        <vertAlign val="superscript"/>
        <sz val="12"/>
        <rFont val="Arial"/>
        <family val="2"/>
      </rPr>
      <t>2</t>
    </r>
  </si>
  <si>
    <r>
      <t xml:space="preserve">1° Trim 10 </t>
    </r>
    <r>
      <rPr>
        <b/>
        <vertAlign val="superscript"/>
        <sz val="12"/>
        <rFont val="Arial"/>
        <family val="2"/>
      </rPr>
      <t>2</t>
    </r>
  </si>
  <si>
    <r>
      <t xml:space="preserve">2° Trim 10 </t>
    </r>
    <r>
      <rPr>
        <b/>
        <vertAlign val="superscript"/>
        <sz val="12"/>
        <rFont val="Arial"/>
        <family val="2"/>
      </rPr>
      <t>2</t>
    </r>
  </si>
  <si>
    <r>
      <t xml:space="preserve">3° Trim 10 </t>
    </r>
    <r>
      <rPr>
        <b/>
        <vertAlign val="superscript"/>
        <sz val="12"/>
        <rFont val="Arial"/>
        <family val="2"/>
      </rPr>
      <t>2</t>
    </r>
  </si>
  <si>
    <r>
      <t xml:space="preserve">4° Trim 10 </t>
    </r>
    <r>
      <rPr>
        <b/>
        <vertAlign val="superscript"/>
        <sz val="12"/>
        <rFont val="Arial"/>
        <family val="2"/>
      </rPr>
      <t>2</t>
    </r>
  </si>
  <si>
    <r>
      <t xml:space="preserve">1° Trim 11 </t>
    </r>
    <r>
      <rPr>
        <b/>
        <vertAlign val="superscript"/>
        <sz val="12"/>
        <rFont val="Arial"/>
        <family val="2"/>
      </rPr>
      <t>2</t>
    </r>
  </si>
  <si>
    <r>
      <t xml:space="preserve">2° Trim 11 </t>
    </r>
    <r>
      <rPr>
        <b/>
        <vertAlign val="superscript"/>
        <sz val="12"/>
        <rFont val="Arial"/>
        <family val="2"/>
      </rPr>
      <t>2</t>
    </r>
  </si>
  <si>
    <r>
      <t xml:space="preserve">3° Trim 11 </t>
    </r>
    <r>
      <rPr>
        <b/>
        <vertAlign val="superscript"/>
        <sz val="12"/>
        <rFont val="Arial"/>
        <family val="2"/>
      </rPr>
      <t>2</t>
    </r>
  </si>
  <si>
    <r>
      <t xml:space="preserve">4° Trim 11 </t>
    </r>
    <r>
      <rPr>
        <b/>
        <vertAlign val="superscript"/>
        <sz val="12"/>
        <rFont val="Arial"/>
        <family val="2"/>
      </rPr>
      <t>2</t>
    </r>
  </si>
  <si>
    <r>
      <t xml:space="preserve">1° Trim 12 </t>
    </r>
    <r>
      <rPr>
        <b/>
        <vertAlign val="superscript"/>
        <sz val="12"/>
        <rFont val="Arial"/>
        <family val="2"/>
      </rPr>
      <t>2</t>
    </r>
  </si>
  <si>
    <r>
      <t xml:space="preserve">2° Trim 12 </t>
    </r>
    <r>
      <rPr>
        <b/>
        <vertAlign val="superscript"/>
        <sz val="12"/>
        <rFont val="Arial"/>
        <family val="2"/>
      </rPr>
      <t>2</t>
    </r>
  </si>
  <si>
    <r>
      <t xml:space="preserve">3° Trim 12 </t>
    </r>
    <r>
      <rPr>
        <b/>
        <vertAlign val="superscript"/>
        <sz val="12"/>
        <rFont val="Arial"/>
        <family val="2"/>
      </rPr>
      <t>2</t>
    </r>
  </si>
  <si>
    <r>
      <t xml:space="preserve">4° Trim 12 </t>
    </r>
    <r>
      <rPr>
        <b/>
        <vertAlign val="superscript"/>
        <sz val="12"/>
        <rFont val="Arial"/>
        <family val="2"/>
      </rPr>
      <t>2</t>
    </r>
  </si>
  <si>
    <r>
      <t xml:space="preserve">1° Trim 13 </t>
    </r>
    <r>
      <rPr>
        <b/>
        <vertAlign val="superscript"/>
        <sz val="12"/>
        <rFont val="Arial"/>
        <family val="2"/>
      </rPr>
      <t>2</t>
    </r>
  </si>
  <si>
    <r>
      <t xml:space="preserve">2° Trim 13 </t>
    </r>
    <r>
      <rPr>
        <b/>
        <vertAlign val="superscript"/>
        <sz val="12"/>
        <rFont val="Arial"/>
        <family val="2"/>
      </rPr>
      <t>2</t>
    </r>
  </si>
  <si>
    <r>
      <t xml:space="preserve">3° Trim 13 </t>
    </r>
    <r>
      <rPr>
        <b/>
        <vertAlign val="superscript"/>
        <sz val="12"/>
        <rFont val="Arial"/>
        <family val="2"/>
      </rPr>
      <t>2</t>
    </r>
  </si>
  <si>
    <r>
      <t xml:space="preserve">4° Trim 13 </t>
    </r>
    <r>
      <rPr>
        <b/>
        <vertAlign val="superscript"/>
        <sz val="12"/>
        <rFont val="Arial"/>
        <family val="2"/>
      </rPr>
      <t>2</t>
    </r>
  </si>
  <si>
    <r>
      <t xml:space="preserve">2° Trim 14 </t>
    </r>
    <r>
      <rPr>
        <b/>
        <vertAlign val="superscript"/>
        <sz val="12"/>
        <rFont val="Arial"/>
        <family val="2"/>
      </rPr>
      <t>2</t>
    </r>
  </si>
  <si>
    <r>
      <t xml:space="preserve">3° Trim 14 </t>
    </r>
    <r>
      <rPr>
        <b/>
        <vertAlign val="superscript"/>
        <sz val="12"/>
        <rFont val="Arial"/>
        <family val="2"/>
      </rPr>
      <t>2</t>
    </r>
  </si>
  <si>
    <r>
      <t xml:space="preserve">4° Trim 14 </t>
    </r>
    <r>
      <rPr>
        <b/>
        <vertAlign val="superscript"/>
        <sz val="12"/>
        <rFont val="Arial"/>
        <family val="2"/>
      </rPr>
      <t>2</t>
    </r>
  </si>
  <si>
    <r>
      <t xml:space="preserve">1° Trim 15 </t>
    </r>
    <r>
      <rPr>
        <b/>
        <vertAlign val="superscript"/>
        <sz val="12"/>
        <rFont val="Arial"/>
        <family val="2"/>
      </rPr>
      <t>2</t>
    </r>
  </si>
  <si>
    <r>
      <t xml:space="preserve">2° Trim 15 </t>
    </r>
    <r>
      <rPr>
        <b/>
        <vertAlign val="superscript"/>
        <sz val="12"/>
        <rFont val="Arial"/>
        <family val="2"/>
      </rPr>
      <t>2</t>
    </r>
  </si>
  <si>
    <t>3° Trim 16</t>
  </si>
  <si>
    <t>3. En el 1° trimestre de 2016 no se relevó la EPH.</t>
  </si>
  <si>
    <t>4. A partir del 1° trimestre de 2014 todas las viviendas seleccionadas para la EPH son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anteriores.</t>
  </si>
  <si>
    <t>2.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</si>
  <si>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</si>
  <si>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</si>
  <si>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</si>
  <si>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</si>
  <si>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</si>
  <si>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</si>
  <si>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</si>
  <si>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</si>
  <si>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</si>
  <si>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</si>
  <si>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</si>
  <si>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</si>
  <si>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</si>
  <si>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</si>
  <si>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</si>
  <si>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</si>
  <si>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</si>
  <si>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</si>
  <si>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r>
      <t xml:space="preserve">3° Trim 07 </t>
    </r>
    <r>
      <rPr>
        <b/>
        <vertAlign val="superscript"/>
        <sz val="12"/>
        <rFont val="Arial"/>
        <family val="2"/>
      </rPr>
      <t>2 3</t>
    </r>
  </si>
  <si>
    <r>
      <t xml:space="preserve">1° Trim 14 </t>
    </r>
    <r>
      <rPr>
        <b/>
        <vertAlign val="superscript"/>
        <sz val="12"/>
        <rFont val="Arial"/>
        <family val="2"/>
      </rPr>
      <t>2 4</t>
    </r>
  </si>
  <si>
    <r>
      <t xml:space="preserve"> Otros servicios comunitarios, sociales y personales</t>
    </r>
    <r>
      <rPr>
        <vertAlign val="superscript"/>
        <sz val="10"/>
        <rFont val="Arial"/>
        <family val="2"/>
      </rPr>
      <t xml:space="preserve"> 5</t>
    </r>
  </si>
  <si>
    <t>5. Incluye Administración pública y defensa, Asociaciones sindicales, empresariales y sociales, Servicios culturales y deportivos, entre otros.</t>
  </si>
  <si>
    <t>6. Información no disponible</t>
  </si>
  <si>
    <r>
      <t xml:space="preserve">3° Trim 15 </t>
    </r>
    <r>
      <rPr>
        <b/>
        <vertAlign val="superscript"/>
        <sz val="12"/>
        <rFont val="Arial"/>
        <family val="2"/>
      </rPr>
      <t>2 6</t>
    </r>
  </si>
  <si>
    <r>
      <t xml:space="preserve">4° Trim 15 </t>
    </r>
    <r>
      <rPr>
        <b/>
        <vertAlign val="superscript"/>
        <sz val="12"/>
        <rFont val="Arial"/>
        <family val="2"/>
      </rPr>
      <t>2 6</t>
    </r>
  </si>
  <si>
    <r>
      <t xml:space="preserve">1° Trim 16 </t>
    </r>
    <r>
      <rPr>
        <b/>
        <vertAlign val="superscript"/>
        <sz val="12"/>
        <rFont val="Arial"/>
        <family val="2"/>
      </rPr>
      <t xml:space="preserve"> 6</t>
    </r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</si>
  <si>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</si>
  <si>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</si>
  <si>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</si>
  <si>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</si>
  <si>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</si>
  <si>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</si>
  <si>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</si>
  <si>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</si>
  <si>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</si>
  <si>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</si>
  <si>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</si>
  <si>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</si>
  <si>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</si>
  <si>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</si>
  <si>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</si>
  <si>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</si>
  <si>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</si>
  <si>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</si>
  <si>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</si>
  <si>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</si>
  <si>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r>
      <t>Población desocupada</t>
    </r>
    <r>
      <rPr>
        <b/>
        <vertAlign val="superscript"/>
        <sz val="16"/>
        <color indexed="9"/>
        <rFont val="Arial"/>
        <family val="2"/>
      </rPr>
      <t xml:space="preserve"> </t>
    </r>
    <r>
      <rPr>
        <b/>
        <sz val="16"/>
        <color indexed="9"/>
        <rFont val="Arial"/>
        <family val="2"/>
      </rPr>
      <t>con experiencia laboral</t>
    </r>
    <r>
      <rPr>
        <b/>
        <vertAlign val="superscript"/>
        <sz val="16"/>
        <color indexed="9"/>
        <rFont val="Arial"/>
        <family val="2"/>
      </rPr>
      <t>1</t>
    </r>
    <r>
      <rPr>
        <b/>
        <sz val="16"/>
        <color indexed="9"/>
        <rFont val="Arial"/>
        <family val="2"/>
      </rPr>
      <t xml:space="preserve"> según categoría ocupacional, rama de actividad, tamaño del establecimiento, calificación de la tarea y quintil de ingreso per cápita familiar</t>
    </r>
  </si>
  <si>
    <t>4° Trim 23</t>
  </si>
  <si>
    <t>1° Trim 24</t>
  </si>
  <si>
    <t>Fuente: STEySS -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</si>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</sst>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_€_-;\-* #,##0.00\ _€_-;_-* &quot;-&quot;??\ _€_-;_-@_-"/>
    <numFmt numFmtId="165" formatCode="_ * #,##0.00_ ;_ * \-#,##0.00_ ;_ * &quot;-&quot;??_ ;_ @_ "/>
    <numFmt numFmtId="166" formatCode="_ * #,##0_ ;_ * \-#,##0_ ;_ * &quot;-&quot;??_ ;_ @_ "/>
    <numFmt numFmtId="167" formatCode="_ * #,##0.0_ ;_ * \-#,##0.0_ ;_ * &quot;-&quot;??_ ;_ @_ "/>
    <numFmt numFmtId="168" formatCode="0.0"/>
  </numFmts>
  <fonts count="18" x14ac:knownFonts="1">
    <font>
      <sz val="10"/>
      <color theme="1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10"/>
      <color indexed="8"/>
      <name val="Verdana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i/>
      <sz val="11"/>
      <color indexed="9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b/>
      <sz val="16"/>
      <color indexed="9"/>
      <name val="Arial"/>
      <family val="2"/>
    </font>
    <font>
      <b/>
      <vertAlign val="superscript"/>
      <sz val="16"/>
      <color indexed="9"/>
      <name val="Arial"/>
      <family val="2"/>
    </font>
    <font>
      <b/>
      <vertAlign val="superscript"/>
      <sz val="12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50">
    <xf numFmtId="0" fontId="0" fillId="0" borderId="0" xfId="0"/>
    <xf numFmtId="0" fontId="4" fillId="0" borderId="0" xfId="4" applyFont="1" applyAlignment="1">
      <alignment horizontal="center" vertical="center"/>
    </xf>
    <xf numFmtId="0" fontId="1" fillId="0" borderId="0" xfId="4" applyFont="1" applyAlignment="1">
      <alignment vertical="center"/>
    </xf>
    <xf numFmtId="0" fontId="5" fillId="2" borderId="0" xfId="3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166" fontId="4" fillId="0" borderId="1" xfId="2" applyNumberFormat="1" applyFont="1" applyBorder="1" applyAlignment="1">
      <alignment horizontal="left" vertical="center"/>
    </xf>
    <xf numFmtId="166" fontId="4" fillId="0" borderId="1" xfId="2" applyNumberFormat="1" applyFont="1" applyBorder="1" applyAlignment="1">
      <alignment horizontal="right" vertical="center"/>
    </xf>
    <xf numFmtId="166" fontId="4" fillId="0" borderId="0" xfId="2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6" fontId="4" fillId="0" borderId="2" xfId="2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6" fontId="4" fillId="0" borderId="2" xfId="2" applyNumberFormat="1" applyFont="1" applyBorder="1" applyAlignment="1">
      <alignment horizontal="left" vertical="center"/>
    </xf>
    <xf numFmtId="166" fontId="1" fillId="0" borderId="0" xfId="2" applyNumberFormat="1" applyFont="1" applyBorder="1" applyAlignment="1">
      <alignment horizontal="left" vertical="center" indent="1"/>
    </xf>
    <xf numFmtId="166" fontId="1" fillId="0" borderId="0" xfId="2" applyNumberFormat="1" applyFont="1" applyBorder="1" applyAlignment="1">
      <alignment vertical="center"/>
    </xf>
    <xf numFmtId="166" fontId="1" fillId="0" borderId="0" xfId="2" applyNumberFormat="1" applyFont="1" applyBorder="1" applyAlignment="1">
      <alignment horizontal="right" vertical="center"/>
    </xf>
    <xf numFmtId="166" fontId="4" fillId="0" borderId="1" xfId="2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6" fontId="1" fillId="0" borderId="1" xfId="2" applyNumberFormat="1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6" fontId="1" fillId="0" borderId="0" xfId="1" applyNumberFormat="1" applyFont="1" applyBorder="1" applyAlignment="1">
      <alignment vertical="center"/>
    </xf>
    <xf numFmtId="1" fontId="1" fillId="0" borderId="0" xfId="1" applyNumberFormat="1" applyFont="1" applyBorder="1" applyAlignment="1">
      <alignment vertical="center"/>
    </xf>
    <xf numFmtId="1" fontId="1" fillId="0" borderId="1" xfId="1" applyNumberFormat="1" applyFont="1" applyBorder="1" applyAlignment="1">
      <alignment vertical="center"/>
    </xf>
    <xf numFmtId="0" fontId="11" fillId="0" borderId="0" xfId="0" applyFont="1"/>
    <xf numFmtId="167" fontId="1" fillId="0" borderId="0" xfId="1" applyNumberFormat="1" applyFont="1" applyBorder="1" applyAlignment="1">
      <alignment horizontal="left" vertical="center" indent="1"/>
    </xf>
    <xf numFmtId="166" fontId="4" fillId="0" borderId="0" xfId="1" applyNumberFormat="1" applyFont="1" applyBorder="1" applyAlignment="1">
      <alignment vertical="center"/>
    </xf>
    <xf numFmtId="0" fontId="7" fillId="3" borderId="1" xfId="4" applyFont="1" applyFill="1" applyBorder="1" applyAlignment="1">
      <alignment horizontal="center" vertical="center"/>
    </xf>
    <xf numFmtId="0" fontId="1" fillId="0" borderId="0" xfId="2" applyNumberFormat="1" applyFont="1" applyBorder="1" applyAlignment="1">
      <alignment horizontal="left" vertical="center" indent="1"/>
    </xf>
    <xf numFmtId="0" fontId="16" fillId="0" borderId="0" xfId="0" applyFont="1" applyAlignment="1">
      <alignment horizontal="left" vertical="center"/>
    </xf>
    <xf numFmtId="166" fontId="1" fillId="0" borderId="0" xfId="2" applyNumberFormat="1" applyFont="1" applyFill="1" applyBorder="1" applyAlignment="1">
      <alignment horizontal="right" vertical="center"/>
    </xf>
    <xf numFmtId="166" fontId="4" fillId="0" borderId="2" xfId="2" applyNumberFormat="1" applyFont="1" applyBorder="1" applyAlignment="1">
      <alignment horizontal="center" vertical="center"/>
    </xf>
    <xf numFmtId="166" fontId="4" fillId="0" borderId="1" xfId="2" applyNumberFormat="1" applyFont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left" vertical="center" wrapText="1"/>
    </xf>
    <xf numFmtId="166" fontId="17" fillId="0" borderId="2" xfId="2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horizontal="left" vertical="center"/>
    </xf>
    <xf numFmtId="168" fontId="1" fillId="0" borderId="0" xfId="1" applyNumberFormat="1" applyFont="1" applyBorder="1" applyAlignment="1">
      <alignment vertical="center"/>
    </xf>
    <xf numFmtId="167" fontId="1" fillId="0" borderId="0" xfId="1" applyNumberFormat="1" applyFont="1" applyBorder="1" applyAlignment="1">
      <alignment vertical="center"/>
    </xf>
    <xf numFmtId="0" fontId="1" fillId="0" borderId="0" xfId="1" applyNumberFormat="1" applyFont="1" applyBorder="1" applyAlignment="1">
      <alignment vertical="center"/>
    </xf>
    <xf numFmtId="166" fontId="4" fillId="4" borderId="0" xfId="2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3" fillId="2" borderId="0" xfId="3" applyFont="1" applyFill="1" applyAlignment="1">
      <alignment horizontal="left" vertical="center" wrapText="1"/>
    </xf>
    <xf numFmtId="0" fontId="6" fillId="2" borderId="4" xfId="4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</cellXfs>
  <cellStyles count="5">
    <cellStyle name="Millares" xfId="1" builtinId="3"/>
    <cellStyle name="Millares 3" xfId="2"/>
    <cellStyle name="Normal" xfId="0" builtinId="0"/>
    <cellStyle name="Normal_C1 (2)" xfId="3"/>
    <cellStyle name="Normal_Cuadros tasas trimestrales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49"/>
  <sheetViews>
    <sheetView showGridLines="0" tabSelected="1" zoomScale="70" zoomScaleNormal="70" workbookViewId="0">
      <selection sqref="A1:AI1"/>
    </sheetView>
  </sheetViews>
  <sheetFormatPr baseColWidth="10" defaultColWidth="4.61328125" defaultRowHeight="12.5" x14ac:dyDescent="0.25"/>
  <cols>
    <col min="1" max="1" width="49.61328125" style="23" customWidth="1"/>
    <col min="2" max="88" width="11.61328125" style="23" customWidth="1"/>
    <col min="89" max="267" width="11" style="23" customWidth="1"/>
    <col min="268" max="16384" width="4.61328125" style="23"/>
  </cols>
  <sheetData>
    <row r="1" spans="1:88" s="2" customFormat="1" ht="22.5" customHeight="1" x14ac:dyDescent="0.3">
      <c r="A1" s="46" t="s">
        <v>27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s="4" customFormat="1" ht="50.15" customHeight="1" x14ac:dyDescent="0.3">
      <c r="A2" s="47" t="s">
        <v>125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3">
      <c r="A3" s="48" t="s">
        <v>39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</row>
    <row r="4" spans="1:88" s="1" customFormat="1" ht="30" customHeight="1" thickBot="1" x14ac:dyDescent="0.35">
      <c r="A4" s="26" t="s">
        <v>133</v>
      </c>
      <c r="B4" s="26" t="s">
        <v>87</v>
      </c>
      <c r="C4" s="26" t="s">
        <v>88</v>
      </c>
      <c r="D4" s="26" t="s">
        <v>89</v>
      </c>
      <c r="E4" s="26" t="s">
        <v>90</v>
      </c>
      <c r="F4" s="26" t="s">
        <v>91</v>
      </c>
      <c r="G4" s="26" t="s">
        <v>92</v>
      </c>
      <c r="H4" s="26" t="s">
        <v>93</v>
      </c>
      <c r="I4" s="26" t="s">
        <v>94</v>
      </c>
      <c r="J4" s="26" t="s">
        <v>95</v>
      </c>
      <c r="K4" s="26" t="s">
        <v>96</v>
      </c>
      <c r="L4" s="26" t="s">
        <v>28</v>
      </c>
      <c r="M4" s="26" t="s">
        <v>29</v>
      </c>
      <c r="N4" s="26" t="s">
        <v>30</v>
      </c>
      <c r="O4" s="26" t="s">
        <v>31</v>
      </c>
      <c r="P4" s="26" t="s">
        <v>32</v>
      </c>
      <c r="Q4" s="26" t="s">
        <v>44</v>
      </c>
      <c r="R4" s="26" t="s">
        <v>97</v>
      </c>
      <c r="S4" s="26" t="s">
        <v>45</v>
      </c>
      <c r="T4" s="26" t="s">
        <v>46</v>
      </c>
      <c r="U4" s="26" t="s">
        <v>47</v>
      </c>
      <c r="V4" s="26" t="s">
        <v>48</v>
      </c>
      <c r="W4" s="26" t="s">
        <v>49</v>
      </c>
      <c r="X4" s="26" t="s">
        <v>50</v>
      </c>
      <c r="Y4" s="26" t="s">
        <v>51</v>
      </c>
      <c r="Z4" s="26" t="s">
        <v>52</v>
      </c>
      <c r="AA4" s="26" t="s">
        <v>53</v>
      </c>
      <c r="AB4" s="26" t="s">
        <v>54</v>
      </c>
      <c r="AC4" s="26" t="s">
        <v>55</v>
      </c>
      <c r="AD4" s="26" t="s">
        <v>56</v>
      </c>
      <c r="AE4" s="26" t="s">
        <v>57</v>
      </c>
      <c r="AF4" s="26" t="s">
        <v>58</v>
      </c>
      <c r="AG4" s="26" t="s">
        <v>59</v>
      </c>
      <c r="AH4" s="26" t="s">
        <v>60</v>
      </c>
      <c r="AI4" s="26" t="s">
        <v>61</v>
      </c>
      <c r="AJ4" s="26" t="s">
        <v>62</v>
      </c>
      <c r="AK4" s="26" t="s">
        <v>63</v>
      </c>
      <c r="AL4" s="26" t="s">
        <v>64</v>
      </c>
      <c r="AM4" s="26" t="s">
        <v>65</v>
      </c>
      <c r="AN4" s="26" t="s">
        <v>66</v>
      </c>
      <c r="AO4" s="26" t="s">
        <v>67</v>
      </c>
      <c r="AP4" s="26" t="s">
        <v>68</v>
      </c>
      <c r="AQ4" s="26" t="s">
        <v>69</v>
      </c>
      <c r="AR4" s="26" t="s">
        <v>98</v>
      </c>
      <c r="AS4" s="26" t="s">
        <v>70</v>
      </c>
      <c r="AT4" s="26" t="s">
        <v>71</v>
      </c>
      <c r="AU4" s="26" t="s">
        <v>72</v>
      </c>
      <c r="AV4" s="26" t="s">
        <v>73</v>
      </c>
      <c r="AW4" s="26" t="s">
        <v>74</v>
      </c>
      <c r="AX4" s="26" t="s">
        <v>102</v>
      </c>
      <c r="AY4" s="26" t="s">
        <v>103</v>
      </c>
      <c r="AZ4" s="26" t="s">
        <v>104</v>
      </c>
      <c r="BA4" s="26" t="s">
        <v>43</v>
      </c>
      <c r="BB4" s="26" t="s">
        <v>75</v>
      </c>
      <c r="BC4" s="26" t="s">
        <v>79</v>
      </c>
      <c r="BD4" s="26" t="s">
        <v>80</v>
      </c>
      <c r="BE4" s="26" t="s">
        <v>81</v>
      </c>
      <c r="BF4" s="26" t="s">
        <v>82</v>
      </c>
      <c r="BG4" s="26" t="s">
        <v>83</v>
      </c>
      <c r="BH4" s="26" t="s">
        <v>84</v>
      </c>
      <c r="BI4" s="26" t="s">
        <v>85</v>
      </c>
      <c r="BJ4" s="26" t="s">
        <v>86</v>
      </c>
      <c r="BK4" s="26" t="s">
        <v>105</v>
      </c>
      <c r="BL4" s="26" t="s">
        <v>106</v>
      </c>
      <c r="BM4" s="26" t="s">
        <v>107</v>
      </c>
      <c r="BN4" s="26" t="s">
        <v>108</v>
      </c>
      <c r="BO4" s="26" t="s">
        <v>109</v>
      </c>
      <c r="BP4" s="26" t="s">
        <v>110</v>
      </c>
      <c r="BQ4" s="26" t="s">
        <v>111</v>
      </c>
      <c r="BR4" s="26" t="s">
        <v>112</v>
      </c>
      <c r="BS4" s="26" t="s">
        <v>113</v>
      </c>
      <c r="BT4" s="26" t="s">
        <v>114</v>
      </c>
      <c r="BU4" s="26" t="s">
        <v>115</v>
      </c>
      <c r="BV4" s="26" t="s">
        <v>116</v>
      </c>
      <c r="BW4" s="26" t="s">
        <v>117</v>
      </c>
      <c r="BX4" s="26" t="s">
        <v>118</v>
      </c>
      <c r="BY4" s="26" t="s">
        <v>119</v>
      </c>
      <c r="BZ4" s="26" t="s">
        <v>120</v>
      </c>
      <c r="CA4" s="26" t="s">
        <v>121</v>
      </c>
      <c r="CB4" s="26" t="s">
        <v>122</v>
      </c>
      <c r="CC4" s="26" t="s">
        <v>123</v>
      </c>
      <c r="CD4" s="26" t="s">
        <v>124</v>
      </c>
      <c r="CE4" s="26" t="s">
        <v>126</v>
      </c>
      <c r="CF4" s="26" t="s">
        <v>127</v>
      </c>
      <c r="CG4" s="26" t="s">
        <v>129</v>
      </c>
      <c r="CH4" s="26" t="s">
        <v>130</v>
      </c>
      <c r="CI4" s="26" t="s">
        <v>131</v>
      </c>
      <c r="CJ4" s="26" t="s">
        <v>132</v>
      </c>
    </row>
    <row r="5" spans="1:88" s="8" customFormat="1" ht="30" customHeight="1" thickBot="1" x14ac:dyDescent="0.35">
      <c r="A5" s="5" t="s">
        <v>0</v>
      </c>
      <c r="B5" s="6">
        <v>1285.2568861798966</v>
      </c>
      <c r="C5" s="6">
        <v>1152.2840880636838</v>
      </c>
      <c r="D5" s="6">
        <v>1127.5554002581569</v>
      </c>
      <c r="E5" s="6">
        <v>1231.1068781434246</v>
      </c>
      <c r="F5" s="6">
        <v>1134.7555858069229</v>
      </c>
      <c r="G5" s="6">
        <v>990.16960294332603</v>
      </c>
      <c r="H5" s="6">
        <v>1058.2623261658114</v>
      </c>
      <c r="I5" s="6">
        <v>1008.5879309349191</v>
      </c>
      <c r="J5" s="6">
        <v>929.33476079622767</v>
      </c>
      <c r="K5" s="6">
        <v>857.29921072503612</v>
      </c>
      <c r="L5" s="6">
        <v>990.30299923059385</v>
      </c>
      <c r="M5" s="6">
        <v>919.02188251425423</v>
      </c>
      <c r="N5" s="6">
        <v>873.88313653780062</v>
      </c>
      <c r="O5" s="6">
        <v>756.16192995082315</v>
      </c>
      <c r="P5" s="6">
        <v>823.39656159204242</v>
      </c>
      <c r="Q5" s="6">
        <v>723.563230536589</v>
      </c>
      <c r="R5" s="40">
        <f>+(Q5+S5)/2</f>
        <v>677.95127871388911</v>
      </c>
      <c r="S5" s="7">
        <v>632.33932689118922</v>
      </c>
      <c r="T5" s="6">
        <v>727.9635068355667</v>
      </c>
      <c r="U5" s="6">
        <v>673.64890565338942</v>
      </c>
      <c r="V5" s="6">
        <v>658.62033332961767</v>
      </c>
      <c r="W5" s="6">
        <v>627.5390636610158</v>
      </c>
      <c r="X5" s="6">
        <v>727.97238235508803</v>
      </c>
      <c r="Y5" s="6">
        <v>853.93116518251395</v>
      </c>
      <c r="Z5" s="6">
        <v>788.40468915386907</v>
      </c>
      <c r="AA5" s="6">
        <v>801.68627495687144</v>
      </c>
      <c r="AB5" s="6">
        <v>721.81532473401865</v>
      </c>
      <c r="AC5" s="6">
        <v>687.55996047007591</v>
      </c>
      <c r="AD5" s="6">
        <v>695.14376637020746</v>
      </c>
      <c r="AE5" s="6">
        <v>684.45652252825971</v>
      </c>
      <c r="AF5" s="6">
        <v>647.70437106608654</v>
      </c>
      <c r="AG5" s="6">
        <v>659.49266613525162</v>
      </c>
      <c r="AH5" s="6">
        <v>707.99656220723762</v>
      </c>
      <c r="AI5" s="6">
        <v>656.00662186028262</v>
      </c>
      <c r="AJ5" s="6">
        <v>674.3844465370604</v>
      </c>
      <c r="AK5" s="6">
        <v>671.95676375235155</v>
      </c>
      <c r="AL5" s="6">
        <v>742.16809554371127</v>
      </c>
      <c r="AM5" s="6">
        <v>670.29303866055375</v>
      </c>
      <c r="AN5" s="6">
        <v>775.56768577599132</v>
      </c>
      <c r="AO5" s="6">
        <v>708.27658975344048</v>
      </c>
      <c r="AP5" s="6">
        <v>676.81567718827</v>
      </c>
      <c r="AQ5" s="6">
        <v>606.37056598709398</v>
      </c>
      <c r="AR5" s="6">
        <v>677.32687793240302</v>
      </c>
      <c r="AS5" s="6">
        <v>680.78650850302006</v>
      </c>
      <c r="AT5" s="6">
        <v>744.65881100615434</v>
      </c>
      <c r="AU5" s="6">
        <v>679.1498854494256</v>
      </c>
      <c r="AV5" s="6">
        <v>675.96444303021053</v>
      </c>
      <c r="AW5" s="6">
        <v>615.45875001941761</v>
      </c>
      <c r="AX5" s="40">
        <f>+(AW5+BA5)/2</f>
        <v>777.19605442720535</v>
      </c>
      <c r="AY5" s="40">
        <f>+(AX5+BA5)/2</f>
        <v>858.06470663109917</v>
      </c>
      <c r="AZ5" s="40">
        <f>+(AY5+BA5)/2</f>
        <v>898.49903273304608</v>
      </c>
      <c r="BA5" s="6">
        <v>938.9333588349931</v>
      </c>
      <c r="BB5" s="6">
        <v>867.831827970836</v>
      </c>
      <c r="BC5" s="6">
        <v>718.20506269758744</v>
      </c>
      <c r="BD5" s="6">
        <v>917.60054724055578</v>
      </c>
      <c r="BE5" s="6">
        <v>833.0028384000002</v>
      </c>
      <c r="BF5" s="6">
        <v>829.56684719999987</v>
      </c>
      <c r="BG5" s="6">
        <v>726.72226999999998</v>
      </c>
      <c r="BH5" s="6">
        <v>889.80090999999982</v>
      </c>
      <c r="BI5" s="6">
        <v>989.41316860000006</v>
      </c>
      <c r="BJ5" s="6">
        <v>924.93539820000012</v>
      </c>
      <c r="BK5" s="6">
        <v>920.2903182</v>
      </c>
      <c r="BL5" s="6">
        <v>1067.82</v>
      </c>
      <c r="BM5" s="6">
        <v>1119.377</v>
      </c>
      <c r="BN5" s="6">
        <v>1011.8659593446037</v>
      </c>
      <c r="BO5" s="6">
        <v>916.69799999999998</v>
      </c>
      <c r="BP5" s="6">
        <v>1111.6030000000001</v>
      </c>
      <c r="BQ5" s="6">
        <v>1282.921</v>
      </c>
      <c r="BR5" s="6">
        <v>1177.3699999999999</v>
      </c>
      <c r="BS5" s="6">
        <v>1168.307</v>
      </c>
      <c r="BT5" s="6">
        <v>1081.6859999999999</v>
      </c>
      <c r="BU5" s="6">
        <v>1038.9860000000001</v>
      </c>
      <c r="BV5" s="6">
        <v>864.14200000000017</v>
      </c>
      <c r="BW5" s="6">
        <v>502.48099999999999</v>
      </c>
      <c r="BX5" s="6">
        <v>720.899</v>
      </c>
      <c r="BY5" s="6">
        <v>698.78800000000012</v>
      </c>
      <c r="BZ5" s="6">
        <v>751.19500000000005</v>
      </c>
      <c r="CA5" s="6">
        <v>628.96699999999998</v>
      </c>
      <c r="CB5" s="6">
        <v>722.46600000000001</v>
      </c>
      <c r="CC5" s="6">
        <v>652.95100000000002</v>
      </c>
      <c r="CD5" s="6">
        <v>599.68899999999996</v>
      </c>
      <c r="CE5" s="6">
        <v>617</v>
      </c>
      <c r="CF5" s="6">
        <v>866.42499999999995</v>
      </c>
      <c r="CG5" s="6">
        <v>854.625</v>
      </c>
      <c r="CH5" s="6">
        <v>755.85599999999999</v>
      </c>
      <c r="CI5" s="6">
        <v>742.08399999999995</v>
      </c>
      <c r="CJ5" s="6">
        <v>870.53800000000001</v>
      </c>
    </row>
    <row r="6" spans="1:88" s="4" customFormat="1" ht="20.149999999999999" customHeight="1" thickBot="1" x14ac:dyDescent="0.35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10"/>
      <c r="AA6" s="10"/>
      <c r="AB6" s="10"/>
      <c r="AC6" s="10"/>
      <c r="AD6" s="10"/>
      <c r="AE6" s="10"/>
      <c r="AF6" s="10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30"/>
      <c r="AY6" s="30"/>
      <c r="AZ6" s="30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</row>
    <row r="7" spans="1:88" s="4" customFormat="1" ht="20.149999999999999" customHeight="1" x14ac:dyDescent="0.3">
      <c r="A7" s="12" t="s">
        <v>2</v>
      </c>
      <c r="B7" s="13">
        <v>6.3228755750167123</v>
      </c>
      <c r="C7" s="13">
        <v>5.7784382921296302</v>
      </c>
      <c r="D7" s="13">
        <v>3.5569506849653494</v>
      </c>
      <c r="E7" s="13">
        <v>6.944086808168711</v>
      </c>
      <c r="F7" s="13">
        <v>5.2922215092665006</v>
      </c>
      <c r="G7" s="13">
        <v>11.326598207997106</v>
      </c>
      <c r="H7" s="13">
        <v>6.1150405536125572</v>
      </c>
      <c r="I7" s="13">
        <v>12.449344705351644</v>
      </c>
      <c r="J7" s="13">
        <v>4.7088657264980522</v>
      </c>
      <c r="K7" s="13">
        <v>4.3604121047574953</v>
      </c>
      <c r="L7" s="13">
        <v>5.3316210393598489</v>
      </c>
      <c r="M7" s="13">
        <v>4.6489572686163703</v>
      </c>
      <c r="N7" s="13">
        <v>3.8754813842691807</v>
      </c>
      <c r="O7" s="13">
        <v>1.5196697753064969</v>
      </c>
      <c r="P7" s="13">
        <v>3.8556114320129895</v>
      </c>
      <c r="Q7" s="13">
        <v>2.886117936618938</v>
      </c>
      <c r="R7" s="40">
        <f t="shared" ref="R7:R10" si="0">+(Q7+S7)/2</f>
        <v>3.1571280240597748</v>
      </c>
      <c r="S7" s="14">
        <v>3.4281381115006111</v>
      </c>
      <c r="T7" s="13">
        <v>2.8855474362631304</v>
      </c>
      <c r="U7" s="13">
        <v>4.9550773360391602</v>
      </c>
      <c r="V7" s="13">
        <v>4.5864050684977666</v>
      </c>
      <c r="W7" s="13">
        <v>6.5192676544646186</v>
      </c>
      <c r="X7" s="13">
        <v>5.6830851060996928</v>
      </c>
      <c r="Y7" s="13">
        <v>9.1538064987230587</v>
      </c>
      <c r="Z7" s="13">
        <v>4.6218246570780099</v>
      </c>
      <c r="AA7" s="13">
        <v>12.729190219436511</v>
      </c>
      <c r="AB7" s="13">
        <v>2.5480473771582433</v>
      </c>
      <c r="AC7" s="13">
        <v>3.6693355510165486</v>
      </c>
      <c r="AD7" s="13">
        <v>2.7213919520808401</v>
      </c>
      <c r="AE7" s="13">
        <v>9.3262726298257359</v>
      </c>
      <c r="AF7" s="13">
        <v>7.9832091750133918</v>
      </c>
      <c r="AG7" s="13">
        <v>4.3773252267601634</v>
      </c>
      <c r="AH7" s="13">
        <v>4.6297097182134603</v>
      </c>
      <c r="AI7" s="13">
        <v>6.970955452080374</v>
      </c>
      <c r="AJ7" s="13">
        <v>1.6301272039610777</v>
      </c>
      <c r="AK7" s="13">
        <v>3.3243199406595263</v>
      </c>
      <c r="AL7" s="13">
        <v>7.8588718023275792</v>
      </c>
      <c r="AM7" s="13">
        <v>8.6536891359584356</v>
      </c>
      <c r="AN7" s="13">
        <v>11.243755131220562</v>
      </c>
      <c r="AO7" s="13">
        <v>1.9711071475932784</v>
      </c>
      <c r="AP7" s="13">
        <v>5.5102945220748758</v>
      </c>
      <c r="AQ7" s="13">
        <v>2.2363524918907003</v>
      </c>
      <c r="AR7" s="13">
        <v>11.586177353748296</v>
      </c>
      <c r="AS7" s="13">
        <v>7.9915801066520382</v>
      </c>
      <c r="AT7" s="13">
        <v>3.6317489353164167</v>
      </c>
      <c r="AU7" s="13">
        <v>5.2579345970278109</v>
      </c>
      <c r="AV7" s="13">
        <v>11.793237832517182</v>
      </c>
      <c r="AW7" s="13">
        <v>7.0949519272175623</v>
      </c>
      <c r="AX7" s="40">
        <f>+(AW7+BA7)/2</f>
        <v>7.1443891919512925</v>
      </c>
      <c r="AY7" s="40">
        <f>+(AX7+BA7)/2</f>
        <v>7.1691078243181581</v>
      </c>
      <c r="AZ7" s="40">
        <f>+(AY7+BA7)/2</f>
        <v>7.1814671405015904</v>
      </c>
      <c r="BA7" s="13">
        <v>7.1938264566850236</v>
      </c>
      <c r="BB7" s="13">
        <v>14.435437880536849</v>
      </c>
      <c r="BC7" s="13">
        <v>6.4810929966499442</v>
      </c>
      <c r="BD7" s="13">
        <v>11.22536325174614</v>
      </c>
      <c r="BE7" s="13">
        <v>8.9443472971871572</v>
      </c>
      <c r="BF7" s="13">
        <v>6.3437096262751309</v>
      </c>
      <c r="BG7" s="13">
        <v>5.6240863244350816</v>
      </c>
      <c r="BH7" s="13">
        <v>5.3675598114873004</v>
      </c>
      <c r="BI7" s="13">
        <v>8.8834110734216392</v>
      </c>
      <c r="BJ7" s="13">
        <v>1.172563658820251</v>
      </c>
      <c r="BK7" s="13">
        <v>11.77228026677224</v>
      </c>
      <c r="BL7" s="13">
        <v>4.9800000000000004</v>
      </c>
      <c r="BM7" s="13">
        <v>10.524409918066665</v>
      </c>
      <c r="BN7" s="13">
        <v>8.2705017533372764</v>
      </c>
      <c r="BO7" s="13">
        <v>6.5144108571259993</v>
      </c>
      <c r="BP7" s="13">
        <v>9.2754790534072615</v>
      </c>
      <c r="BQ7" s="13">
        <v>8.2959999999999994</v>
      </c>
      <c r="BR7" s="13">
        <v>11.528961344700887</v>
      </c>
      <c r="BS7" s="13">
        <v>2.1349999999999998</v>
      </c>
      <c r="BT7" s="13">
        <v>8.6514990821525846</v>
      </c>
      <c r="BU7" s="13">
        <v>11.611000000000001</v>
      </c>
      <c r="BV7" s="13">
        <v>9.388080313997067</v>
      </c>
      <c r="BW7" s="13">
        <v>11.385999999999999</v>
      </c>
      <c r="BX7" s="13">
        <v>3.3690000000000002</v>
      </c>
      <c r="BY7" s="13">
        <v>6.2369963339594534</v>
      </c>
      <c r="BZ7" s="13">
        <v>6.8375250337069069</v>
      </c>
      <c r="CA7" s="13">
        <v>5.7889999999999997</v>
      </c>
      <c r="CB7" s="13">
        <v>5.2790925475647352</v>
      </c>
      <c r="CC7" s="13">
        <v>1.6924353802849794</v>
      </c>
      <c r="CD7" s="13">
        <v>4.9588208196880021</v>
      </c>
      <c r="CE7" s="13">
        <v>5.2190000000000003</v>
      </c>
      <c r="CF7" s="13">
        <v>2.738</v>
      </c>
      <c r="CG7" s="13">
        <v>4.0913606964562375</v>
      </c>
      <c r="CH7" s="13">
        <v>4.2330676575748019</v>
      </c>
      <c r="CI7" s="13">
        <v>5.0929104900945861</v>
      </c>
      <c r="CJ7" s="13">
        <v>7.8786138669972949</v>
      </c>
    </row>
    <row r="8" spans="1:88" s="4" customFormat="1" ht="20.149999999999999" customHeight="1" x14ac:dyDescent="0.3">
      <c r="A8" s="12" t="s">
        <v>3</v>
      </c>
      <c r="B8" s="13">
        <v>321.76817940704927</v>
      </c>
      <c r="C8" s="13">
        <v>283.37546855428945</v>
      </c>
      <c r="D8" s="13">
        <v>271.15573358282001</v>
      </c>
      <c r="E8" s="13">
        <v>296.00378948580999</v>
      </c>
      <c r="F8" s="13">
        <v>284.06446309254829</v>
      </c>
      <c r="G8" s="13">
        <v>245.87157697548886</v>
      </c>
      <c r="H8" s="13">
        <v>223.67393481296418</v>
      </c>
      <c r="I8" s="13">
        <v>221.95338926851659</v>
      </c>
      <c r="J8" s="13">
        <v>202.05429947721251</v>
      </c>
      <c r="K8" s="13">
        <v>165.16724930768601</v>
      </c>
      <c r="L8" s="13">
        <v>225.07086670941629</v>
      </c>
      <c r="M8" s="13">
        <v>197.65970592716337</v>
      </c>
      <c r="N8" s="13">
        <v>151.19635030582546</v>
      </c>
      <c r="O8" s="13">
        <v>136.80373481600037</v>
      </c>
      <c r="P8" s="13">
        <v>130.3536139406265</v>
      </c>
      <c r="Q8" s="13">
        <v>111.60904546831796</v>
      </c>
      <c r="R8" s="40">
        <f t="shared" si="0"/>
        <v>111.55472227902317</v>
      </c>
      <c r="S8" s="14">
        <v>111.50039908972836</v>
      </c>
      <c r="T8" s="13">
        <v>128.85591596944076</v>
      </c>
      <c r="U8" s="13">
        <v>114.90886268051803</v>
      </c>
      <c r="V8" s="13">
        <v>118.53579606399153</v>
      </c>
      <c r="W8" s="13">
        <v>112.11387157189782</v>
      </c>
      <c r="X8" s="13">
        <v>136.56020919683232</v>
      </c>
      <c r="Y8" s="13">
        <v>146.69825507173482</v>
      </c>
      <c r="Z8" s="13">
        <v>153.2808028104206</v>
      </c>
      <c r="AA8" s="13">
        <v>142.358649439369</v>
      </c>
      <c r="AB8" s="13">
        <v>147.47707642386652</v>
      </c>
      <c r="AC8" s="13">
        <v>121.47015492906347</v>
      </c>
      <c r="AD8" s="13">
        <v>125.38455341324041</v>
      </c>
      <c r="AE8" s="13">
        <v>133.16551294372573</v>
      </c>
      <c r="AF8" s="13">
        <v>106.1261075231354</v>
      </c>
      <c r="AG8" s="13">
        <v>114.7205735490933</v>
      </c>
      <c r="AH8" s="13">
        <v>137.03530148641937</v>
      </c>
      <c r="AI8" s="13">
        <v>117.06340986251561</v>
      </c>
      <c r="AJ8" s="13">
        <v>117.8604580568832</v>
      </c>
      <c r="AK8" s="13">
        <v>109.33879953616835</v>
      </c>
      <c r="AL8" s="13">
        <v>116.05913646886619</v>
      </c>
      <c r="AM8" s="13">
        <v>99.827589439554814</v>
      </c>
      <c r="AN8" s="13">
        <v>150.29970144936652</v>
      </c>
      <c r="AO8" s="13">
        <v>110.33452857475798</v>
      </c>
      <c r="AP8" s="13">
        <v>124.12560241363158</v>
      </c>
      <c r="AQ8" s="13">
        <v>127.76556856505509</v>
      </c>
      <c r="AR8" s="13">
        <v>119.8917921725544</v>
      </c>
      <c r="AS8" s="13">
        <v>115.40337369594609</v>
      </c>
      <c r="AT8" s="13">
        <v>134.93875878617862</v>
      </c>
      <c r="AU8" s="13">
        <v>119.91195566414035</v>
      </c>
      <c r="AV8" s="13">
        <v>114.7391077019271</v>
      </c>
      <c r="AW8" s="13">
        <v>132.30104774641492</v>
      </c>
      <c r="AX8" s="40">
        <f>+(AW8+BA8)/2</f>
        <v>162.74261005423722</v>
      </c>
      <c r="AY8" s="40">
        <f>+(AX8+BA8)/2</f>
        <v>177.96339120814835</v>
      </c>
      <c r="AZ8" s="40">
        <f>+(AY8+BA8)/2</f>
        <v>185.5737817851039</v>
      </c>
      <c r="BA8" s="13">
        <v>193.18417236205948</v>
      </c>
      <c r="BB8" s="13">
        <v>181.17775988026912</v>
      </c>
      <c r="BC8" s="13">
        <v>159.00524792219051</v>
      </c>
      <c r="BD8" s="13">
        <v>184.24175450801906</v>
      </c>
      <c r="BE8" s="13">
        <v>188.22211484572023</v>
      </c>
      <c r="BF8" s="13">
        <v>163.68650303758119</v>
      </c>
      <c r="BG8" s="13">
        <v>133.57762362421326</v>
      </c>
      <c r="BH8" s="13">
        <v>207.26261087520828</v>
      </c>
      <c r="BI8" s="13">
        <v>215.86870945526741</v>
      </c>
      <c r="BJ8" s="13">
        <v>228.36485920116681</v>
      </c>
      <c r="BK8" s="13">
        <v>222.56208334472862</v>
      </c>
      <c r="BL8" s="13">
        <v>274.92599999999999</v>
      </c>
      <c r="BM8" s="13">
        <v>253.25982489009053</v>
      </c>
      <c r="BN8" s="13">
        <v>239.62363764140508</v>
      </c>
      <c r="BO8" s="13">
        <v>239.44366142610681</v>
      </c>
      <c r="BP8" s="13">
        <v>325.01214537667482</v>
      </c>
      <c r="BQ8" s="13">
        <v>350.91199999999998</v>
      </c>
      <c r="BR8" s="13">
        <v>369.7154021072019</v>
      </c>
      <c r="BS8" s="13">
        <v>319.99799999999999</v>
      </c>
      <c r="BT8" s="13">
        <v>227.2357096056592</v>
      </c>
      <c r="BU8" s="13">
        <v>307.66399999999999</v>
      </c>
      <c r="BV8" s="13">
        <v>204.5379806266499</v>
      </c>
      <c r="BW8" s="13">
        <v>136.79300000000001</v>
      </c>
      <c r="BX8" s="13">
        <v>145.523</v>
      </c>
      <c r="BY8" s="13">
        <v>177.7780319335593</v>
      </c>
      <c r="BZ8" s="13">
        <v>177.21920123956153</v>
      </c>
      <c r="CA8" s="13">
        <v>148.071</v>
      </c>
      <c r="CB8" s="13">
        <v>146.97347805379388</v>
      </c>
      <c r="CC8" s="13">
        <v>161.54982911835836</v>
      </c>
      <c r="CD8" s="13">
        <v>150.38319812019913</v>
      </c>
      <c r="CE8" s="13">
        <v>124.077</v>
      </c>
      <c r="CF8" s="13">
        <v>206.315</v>
      </c>
      <c r="CG8" s="13">
        <v>187.65314071057929</v>
      </c>
      <c r="CH8" s="13">
        <v>172.18448441413528</v>
      </c>
      <c r="CI8" s="13">
        <v>151.21754744573209</v>
      </c>
      <c r="CJ8" s="13">
        <v>200.13390869914204</v>
      </c>
    </row>
    <row r="9" spans="1:88" ht="20.149999999999999" customHeight="1" x14ac:dyDescent="0.25">
      <c r="A9" s="12" t="s">
        <v>4</v>
      </c>
      <c r="B9" s="20">
        <v>952.23380524278866</v>
      </c>
      <c r="C9" s="20">
        <v>844.75293628080533</v>
      </c>
      <c r="D9" s="20">
        <v>849.96584533062526</v>
      </c>
      <c r="E9" s="20">
        <v>925.14558784091639</v>
      </c>
      <c r="F9" s="20">
        <v>844.67884191087296</v>
      </c>
      <c r="G9" s="20">
        <v>727.86379427655095</v>
      </c>
      <c r="H9" s="20">
        <v>827.77524941698425</v>
      </c>
      <c r="I9" s="20">
        <v>769.26797137756205</v>
      </c>
      <c r="J9" s="20">
        <v>717.21941556680804</v>
      </c>
      <c r="K9" s="20">
        <v>685.66097877527352</v>
      </c>
      <c r="L9" s="20">
        <v>754.14354966365465</v>
      </c>
      <c r="M9" s="20">
        <v>715.12251650029441</v>
      </c>
      <c r="N9" s="20">
        <v>717.16930595178815</v>
      </c>
      <c r="O9" s="20">
        <v>615.57067927054993</v>
      </c>
      <c r="P9" s="20">
        <v>688.4027928130937</v>
      </c>
      <c r="Q9" s="20">
        <v>607.1892053672309</v>
      </c>
      <c r="R9" s="40">
        <f t="shared" si="0"/>
        <v>561.72087818276691</v>
      </c>
      <c r="S9" s="20">
        <v>516.25255099830292</v>
      </c>
      <c r="T9" s="20">
        <v>593.20223717739009</v>
      </c>
      <c r="U9" s="20">
        <v>552.73831848799864</v>
      </c>
      <c r="V9" s="20">
        <v>535.25369408453082</v>
      </c>
      <c r="W9" s="20">
        <v>507.04314041470627</v>
      </c>
      <c r="X9" s="20">
        <v>585.0356439857959</v>
      </c>
      <c r="Y9" s="20">
        <v>697.09200829742633</v>
      </c>
      <c r="Z9" s="20">
        <v>627.20304160466037</v>
      </c>
      <c r="AA9" s="20">
        <v>644.74591626036693</v>
      </c>
      <c r="AB9" s="20">
        <v>568.20433571900764</v>
      </c>
      <c r="AC9" s="20">
        <v>562.35678969907633</v>
      </c>
      <c r="AD9" s="20">
        <v>566.54776583757541</v>
      </c>
      <c r="AE9" s="20">
        <v>541.1760956909809</v>
      </c>
      <c r="AF9" s="20">
        <v>533.33981855061938</v>
      </c>
      <c r="AG9" s="20">
        <v>538.24844711812477</v>
      </c>
      <c r="AH9" s="20">
        <v>565.76284608378216</v>
      </c>
      <c r="AI9" s="20">
        <v>531.57614454737904</v>
      </c>
      <c r="AJ9" s="20">
        <v>554.05721339221589</v>
      </c>
      <c r="AK9" s="20">
        <v>557.28009152783341</v>
      </c>
      <c r="AL9" s="20">
        <v>618.04251769824054</v>
      </c>
      <c r="AM9" s="20">
        <v>560.70196927777363</v>
      </c>
      <c r="AN9" s="20">
        <v>613.87894240347782</v>
      </c>
      <c r="AO9" s="20">
        <v>595.05248001990697</v>
      </c>
      <c r="AP9" s="20">
        <v>546.2240708074537</v>
      </c>
      <c r="AQ9" s="20">
        <v>476.26741086672934</v>
      </c>
      <c r="AR9" s="20">
        <v>544.39684957442091</v>
      </c>
      <c r="AS9" s="20">
        <v>556.59562072610834</v>
      </c>
      <c r="AT9" s="20">
        <v>605.75368145172251</v>
      </c>
      <c r="AU9" s="20">
        <v>552.20631858419335</v>
      </c>
      <c r="AV9" s="20">
        <v>547.40721891902911</v>
      </c>
      <c r="AW9" s="20">
        <v>474.1563894109949</v>
      </c>
      <c r="AX9" s="40">
        <f>+(AW9+BA9)/2</f>
        <v>605.19512189747968</v>
      </c>
      <c r="AY9" s="40">
        <f>+(AX9+BA9)/2</f>
        <v>670.7144881407221</v>
      </c>
      <c r="AZ9" s="40">
        <f>+(AY9+BA9)/2</f>
        <v>703.47417126234325</v>
      </c>
      <c r="BA9" s="20">
        <v>736.2338543839644</v>
      </c>
      <c r="BB9" s="20">
        <v>670.12517268536362</v>
      </c>
      <c r="BC9" s="20">
        <v>549.0376880432807</v>
      </c>
      <c r="BD9" s="20">
        <v>717.92672205329711</v>
      </c>
      <c r="BE9" s="20">
        <v>634.4978628852474</v>
      </c>
      <c r="BF9" s="20">
        <v>652.70891138470347</v>
      </c>
      <c r="BG9" s="20">
        <v>583.78421387191065</v>
      </c>
      <c r="BH9" s="20">
        <v>675.63123016209988</v>
      </c>
      <c r="BI9" s="20">
        <v>759.62165401634059</v>
      </c>
      <c r="BJ9" s="20">
        <v>693.09227042124678</v>
      </c>
      <c r="BK9" s="20">
        <v>684.94288267076877</v>
      </c>
      <c r="BL9" s="20">
        <v>786.12900000000002</v>
      </c>
      <c r="BM9" s="20">
        <v>853.8011418838762</v>
      </c>
      <c r="BN9" s="20">
        <v>762.78886536623509</v>
      </c>
      <c r="BO9" s="20">
        <v>667.8012313061264</v>
      </c>
      <c r="BP9" s="20">
        <v>775.88090962090712</v>
      </c>
      <c r="BQ9" s="20">
        <v>922.97400000000005</v>
      </c>
      <c r="BR9" s="20">
        <v>796.0023803772674</v>
      </c>
      <c r="BS9" s="20">
        <v>840.82100000000003</v>
      </c>
      <c r="BT9" s="20">
        <v>817.51634044418859</v>
      </c>
      <c r="BU9" s="20">
        <v>719.34699999999998</v>
      </c>
      <c r="BV9" s="20">
        <v>649.10439035017578</v>
      </c>
      <c r="BW9" s="20">
        <v>502.48099999999999</v>
      </c>
      <c r="BX9" s="20">
        <v>569.94000000000005</v>
      </c>
      <c r="BY9" s="20">
        <v>514.61707196925545</v>
      </c>
      <c r="BZ9" s="20">
        <v>566.10543914904054</v>
      </c>
      <c r="CA9" s="20">
        <v>475.10700000000003</v>
      </c>
      <c r="CB9" s="20">
        <v>568.95276559797458</v>
      </c>
      <c r="CC9" s="20">
        <v>489.4238204758671</v>
      </c>
      <c r="CD9" s="20">
        <v>444.34698106011291</v>
      </c>
      <c r="CE9" s="20">
        <v>480.19400000000002</v>
      </c>
      <c r="CF9" s="20">
        <v>655.44299999999998</v>
      </c>
      <c r="CG9" s="20">
        <v>662.34505877579136</v>
      </c>
      <c r="CH9" s="20">
        <v>573.32624280606524</v>
      </c>
      <c r="CI9" s="20">
        <v>582.96613194069403</v>
      </c>
      <c r="CJ9" s="20">
        <v>657.49021252026921</v>
      </c>
    </row>
    <row r="10" spans="1:88" ht="20.149999999999999" customHeight="1" x14ac:dyDescent="0.25">
      <c r="A10" s="12" t="s">
        <v>5</v>
      </c>
      <c r="B10" s="20">
        <v>4.93202595504198</v>
      </c>
      <c r="C10" s="20">
        <v>18.377244936459455</v>
      </c>
      <c r="D10" s="20">
        <v>2.8768706597461953</v>
      </c>
      <c r="E10" s="20">
        <v>3.0134140085294505</v>
      </c>
      <c r="F10" s="20">
        <v>0.72005929423508586</v>
      </c>
      <c r="G10" s="20">
        <v>5.1076334832890815</v>
      </c>
      <c r="H10" s="20">
        <v>0.69810138225037899</v>
      </c>
      <c r="I10" s="20">
        <v>4.9172255834889089</v>
      </c>
      <c r="J10" s="20">
        <v>5.3521800257091288</v>
      </c>
      <c r="K10" s="20">
        <v>2.1105705373192105</v>
      </c>
      <c r="L10" s="20">
        <v>5.7569618181630666</v>
      </c>
      <c r="M10" s="20">
        <v>1.5907028181799945</v>
      </c>
      <c r="N10" s="20">
        <v>1.6419988959178575</v>
      </c>
      <c r="O10" s="20">
        <v>2.2678460889663996</v>
      </c>
      <c r="P10" s="20">
        <v>0.78454340630927222</v>
      </c>
      <c r="Q10" s="20">
        <v>1.8788617644211671</v>
      </c>
      <c r="R10" s="40">
        <f t="shared" si="0"/>
        <v>1.5185502280392646</v>
      </c>
      <c r="S10" s="20">
        <v>1.1582386916573622</v>
      </c>
      <c r="T10" s="20">
        <v>3.0198062524727658</v>
      </c>
      <c r="U10" s="20">
        <v>1.0466471488335123</v>
      </c>
      <c r="V10" s="20">
        <v>0.24443811259759074</v>
      </c>
      <c r="W10" s="20">
        <v>1.8627840199471399</v>
      </c>
      <c r="X10" s="20">
        <v>0.69344406636008993</v>
      </c>
      <c r="Y10" s="20">
        <v>0.987095314629718</v>
      </c>
      <c r="Z10" s="20">
        <v>3.299020081710077</v>
      </c>
      <c r="AA10" s="20">
        <v>1.8525190376989737</v>
      </c>
      <c r="AB10" s="20">
        <v>3.5858652139861995</v>
      </c>
      <c r="AC10" s="20">
        <v>6.3680290919561455E-2</v>
      </c>
      <c r="AD10" s="20">
        <v>0.49005516731079796</v>
      </c>
      <c r="AE10" s="20">
        <v>0.7886412637272916</v>
      </c>
      <c r="AF10" s="20">
        <v>0.25523581731836775</v>
      </c>
      <c r="AG10" s="20">
        <v>2.1463202412733291</v>
      </c>
      <c r="AH10" s="20">
        <v>0.56870491882267338</v>
      </c>
      <c r="AI10" s="20">
        <v>0.39611199830752608</v>
      </c>
      <c r="AJ10" s="20">
        <v>0.83664788400019996</v>
      </c>
      <c r="AK10" s="20">
        <v>2.0135527476902402</v>
      </c>
      <c r="AL10" s="20">
        <v>0.20756957427695749</v>
      </c>
      <c r="AM10" s="20">
        <v>1.109790807266877</v>
      </c>
      <c r="AN10" s="20">
        <v>0.14528679192651203</v>
      </c>
      <c r="AO10" s="20">
        <v>0.91847401118220828</v>
      </c>
      <c r="AP10" s="20">
        <v>0.95570944510982114</v>
      </c>
      <c r="AQ10" s="20">
        <v>0.10123406341892059</v>
      </c>
      <c r="AR10" s="20">
        <v>1.4520588316794538</v>
      </c>
      <c r="AS10" s="20">
        <v>0.79593397431355395</v>
      </c>
      <c r="AT10" s="20">
        <v>0.33462183293674014</v>
      </c>
      <c r="AU10" s="20">
        <v>1.7736766040640481</v>
      </c>
      <c r="AV10" s="20">
        <v>2.0248785767371542</v>
      </c>
      <c r="AW10" s="20">
        <v>1.9063609347901886</v>
      </c>
      <c r="AX10" s="40">
        <f>+(AW10+BA10)/2</f>
        <v>2.1139332835372198</v>
      </c>
      <c r="AY10" s="40">
        <f>+(AX10+BA10)/2</f>
        <v>2.2177194579107349</v>
      </c>
      <c r="AZ10" s="40">
        <f>+(AY10+BA10)/2</f>
        <v>2.2696125450974929</v>
      </c>
      <c r="BA10" s="20">
        <v>2.3215056322842504</v>
      </c>
      <c r="BB10" s="20">
        <v>2.0934575246663623</v>
      </c>
      <c r="BC10" s="20">
        <v>3.6810337354662832</v>
      </c>
      <c r="BD10" s="20">
        <v>4.2067074274936038</v>
      </c>
      <c r="BE10" s="20">
        <v>1.3385133718453046</v>
      </c>
      <c r="BF10" s="20">
        <v>6.8277231514401171</v>
      </c>
      <c r="BG10" s="20">
        <v>3.2589300215104902</v>
      </c>
      <c r="BH10" s="20">
        <v>1.5395091512043613</v>
      </c>
      <c r="BI10" s="20">
        <v>5.0393940549704048</v>
      </c>
      <c r="BJ10" s="20">
        <v>2.3057049187663732</v>
      </c>
      <c r="BK10" s="20">
        <v>1.0130719177303138</v>
      </c>
      <c r="BL10" s="20">
        <v>1.7849999999999999</v>
      </c>
      <c r="BM10" s="20">
        <v>1.7916233079666253</v>
      </c>
      <c r="BN10" s="20">
        <v>1.1829545836260358</v>
      </c>
      <c r="BO10" s="20">
        <v>2.9386964106407873</v>
      </c>
      <c r="BP10" s="20">
        <v>1.4344659490106415</v>
      </c>
      <c r="BQ10" s="20">
        <v>0.73899999999999999</v>
      </c>
      <c r="BR10" s="20">
        <v>0.12325617082991822</v>
      </c>
      <c r="BS10" s="20">
        <v>5.3529999999999998</v>
      </c>
      <c r="BT10" s="20">
        <v>2.5644508679996263</v>
      </c>
      <c r="BU10" s="20">
        <v>0.36399999999999999</v>
      </c>
      <c r="BV10" s="20">
        <v>1.1115487091772525</v>
      </c>
      <c r="BW10" s="20">
        <v>0.93200000000000005</v>
      </c>
      <c r="BX10" s="38">
        <v>0.46</v>
      </c>
      <c r="BY10" s="38">
        <v>0.15589976322588539</v>
      </c>
      <c r="BZ10" s="38">
        <v>1.0328345776910903</v>
      </c>
      <c r="CA10" s="39">
        <v>0</v>
      </c>
      <c r="CB10" s="37">
        <v>1.2606638006667836</v>
      </c>
      <c r="CC10" s="37">
        <v>0.28491502548958753</v>
      </c>
      <c r="CD10" s="39">
        <v>0</v>
      </c>
      <c r="CE10" s="37">
        <v>0.61699999999999999</v>
      </c>
      <c r="CF10" s="37">
        <v>1.929</v>
      </c>
      <c r="CG10" s="38">
        <v>0.53543981717321121</v>
      </c>
      <c r="CH10" s="38">
        <v>6.1122051222246654</v>
      </c>
      <c r="CI10" s="38">
        <v>2.8074101234792948</v>
      </c>
      <c r="CJ10" s="38">
        <v>5.0352649135914991</v>
      </c>
    </row>
    <row r="11" spans="1:88" s="4" customFormat="1" ht="20.149999999999999" customHeight="1" thickBot="1" x14ac:dyDescent="0.35">
      <c r="A11" s="15" t="s">
        <v>6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6"/>
      <c r="AA11" s="16"/>
      <c r="AB11" s="16"/>
      <c r="AC11" s="16"/>
      <c r="AD11" s="16"/>
      <c r="AE11" s="16"/>
      <c r="AF11" s="16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31"/>
      <c r="AY11" s="31"/>
      <c r="AZ11" s="31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</row>
    <row r="12" spans="1:88" s="4" customFormat="1" ht="20.149999999999999" customHeight="1" x14ac:dyDescent="0.3">
      <c r="A12" s="12" t="s">
        <v>7</v>
      </c>
      <c r="B12" s="13">
        <v>23.080077348137578</v>
      </c>
      <c r="C12" s="13">
        <v>35.807130689249227</v>
      </c>
      <c r="D12" s="13">
        <v>26.914164348807386</v>
      </c>
      <c r="E12" s="13">
        <v>28.925720346063276</v>
      </c>
      <c r="F12" s="13">
        <v>27.098660046436493</v>
      </c>
      <c r="G12" s="13">
        <v>22.416704053548102</v>
      </c>
      <c r="H12" s="13">
        <v>18.527720322580638</v>
      </c>
      <c r="I12" s="13">
        <v>20.683387401304447</v>
      </c>
      <c r="J12" s="13">
        <v>21.726855905787787</v>
      </c>
      <c r="K12" s="13">
        <v>14.566419450670645</v>
      </c>
      <c r="L12" s="13">
        <v>12.369395021680615</v>
      </c>
      <c r="M12" s="13">
        <v>13.441038213763374</v>
      </c>
      <c r="N12" s="13">
        <v>13.987404705182945</v>
      </c>
      <c r="O12" s="13">
        <v>12.10584507562699</v>
      </c>
      <c r="P12" s="13">
        <v>12.973645821405803</v>
      </c>
      <c r="Q12" s="13">
        <v>9.5732906437641017</v>
      </c>
      <c r="R12" s="40">
        <f t="shared" ref="R12:R24" si="1">+(Q12+S12)/2</f>
        <v>10.235873080207721</v>
      </c>
      <c r="S12" s="14">
        <v>10.898455516651341</v>
      </c>
      <c r="T12" s="13">
        <v>8.8234912603524194</v>
      </c>
      <c r="U12" s="13">
        <v>17.085887100860219</v>
      </c>
      <c r="V12" s="13">
        <v>20.371544697526137</v>
      </c>
      <c r="W12" s="13">
        <v>23.990371383237385</v>
      </c>
      <c r="X12" s="13">
        <v>9.2672719069247371</v>
      </c>
      <c r="Y12" s="13">
        <v>27.358533400423461</v>
      </c>
      <c r="Z12" s="13">
        <v>22.438457507638066</v>
      </c>
      <c r="AA12" s="13">
        <v>23.259553249252384</v>
      </c>
      <c r="AB12" s="13">
        <v>22.494186248950587</v>
      </c>
      <c r="AC12" s="13">
        <v>17.686265229655433</v>
      </c>
      <c r="AD12" s="13">
        <v>14.851246666939121</v>
      </c>
      <c r="AE12" s="13">
        <v>13.831105854033087</v>
      </c>
      <c r="AF12" s="13">
        <v>21.260198264778115</v>
      </c>
      <c r="AG12" s="13">
        <v>30.153609267195101</v>
      </c>
      <c r="AH12" s="13">
        <v>13.541222017983934</v>
      </c>
      <c r="AI12" s="13">
        <v>9.5579978037209781</v>
      </c>
      <c r="AJ12" s="13">
        <v>4.7330866178470163</v>
      </c>
      <c r="AK12" s="13">
        <v>5.7597923397256645</v>
      </c>
      <c r="AL12" s="13">
        <v>5.7512661378439249</v>
      </c>
      <c r="AM12" s="13">
        <v>5.7607563143348095</v>
      </c>
      <c r="AN12" s="13">
        <v>7.462640579628264</v>
      </c>
      <c r="AO12" s="13">
        <v>10.585569842494042</v>
      </c>
      <c r="AP12" s="13">
        <v>3.1658674287602593</v>
      </c>
      <c r="AQ12" s="13">
        <v>6.1422388643345496</v>
      </c>
      <c r="AR12" s="13">
        <v>7.1451796195854058</v>
      </c>
      <c r="AS12" s="13">
        <v>2.4029145933390206</v>
      </c>
      <c r="AT12" s="13">
        <v>7.5911066711427555</v>
      </c>
      <c r="AU12" s="13">
        <v>7.4562520142613451</v>
      </c>
      <c r="AV12" s="13">
        <v>8.8496922046204283</v>
      </c>
      <c r="AW12" s="13">
        <v>6.3869609645863807</v>
      </c>
      <c r="AX12" s="40">
        <f t="shared" ref="AX12:AX24" si="2">+(AW12+BA12)/2</f>
        <v>6.2716419685434222</v>
      </c>
      <c r="AY12" s="40">
        <f t="shared" ref="AY12:AY24" si="3">+(AX12+BA12)/2</f>
        <v>6.2139824705219429</v>
      </c>
      <c r="AZ12" s="40">
        <f t="shared" ref="AZ12:AZ24" si="4">+(AY12+BA12)/2</f>
        <v>6.1851527215112032</v>
      </c>
      <c r="BA12" s="13">
        <v>6.1563229725004636</v>
      </c>
      <c r="BB12" s="13">
        <v>9.477124712571154</v>
      </c>
      <c r="BC12" s="13">
        <v>6.7814057918792727</v>
      </c>
      <c r="BD12" s="13">
        <v>5.0847581088261959</v>
      </c>
      <c r="BE12" s="13">
        <v>7.0057370000000017</v>
      </c>
      <c r="BF12" s="13">
        <v>8.5717085999999991</v>
      </c>
      <c r="BG12" s="13">
        <v>4.0968967971249999</v>
      </c>
      <c r="BH12" s="13">
        <v>6.259128845558835</v>
      </c>
      <c r="BI12" s="13">
        <v>7.3702502000000001</v>
      </c>
      <c r="BJ12" s="13">
        <v>2.9193318000000006</v>
      </c>
      <c r="BK12" s="13">
        <v>6.2870147999999997</v>
      </c>
      <c r="BL12" s="13">
        <v>8.3859999999999992</v>
      </c>
      <c r="BM12" s="13">
        <v>4.25</v>
      </c>
      <c r="BN12" s="13">
        <v>3.9822124420775156</v>
      </c>
      <c r="BO12" s="13">
        <v>3.9319999999999999</v>
      </c>
      <c r="BP12" s="13">
        <v>7.9560000000000004</v>
      </c>
      <c r="BQ12" s="13">
        <v>6.39</v>
      </c>
      <c r="BR12" s="13">
        <v>6.8019999999999996</v>
      </c>
      <c r="BS12" s="13">
        <v>9.9570000000000007</v>
      </c>
      <c r="BT12" s="13">
        <v>8.8149999999999995</v>
      </c>
      <c r="BU12" s="13">
        <v>9.734</v>
      </c>
      <c r="BV12" s="13">
        <v>6.3040000000000003</v>
      </c>
      <c r="BW12" s="13">
        <v>5.6559999999999997</v>
      </c>
      <c r="BX12" s="21">
        <v>7.2939999999999996</v>
      </c>
      <c r="BY12" s="21">
        <v>3.952</v>
      </c>
      <c r="BZ12" s="21">
        <v>5.4420000000000002</v>
      </c>
      <c r="CA12" s="21">
        <v>2.907</v>
      </c>
      <c r="CB12" s="21">
        <v>4.1120000000000001</v>
      </c>
      <c r="CC12" s="21">
        <v>5.5110000000000001</v>
      </c>
      <c r="CD12" s="21">
        <v>6.391</v>
      </c>
      <c r="CE12" s="21">
        <v>3.4790000000000001</v>
      </c>
      <c r="CF12" s="21">
        <v>11.503</v>
      </c>
      <c r="CG12" s="21">
        <v>6.4749999999999996</v>
      </c>
      <c r="CH12" s="21">
        <v>3.008</v>
      </c>
      <c r="CI12" s="21">
        <v>4.875</v>
      </c>
      <c r="CJ12" s="21">
        <v>11.88</v>
      </c>
    </row>
    <row r="13" spans="1:88" s="4" customFormat="1" ht="20.149999999999999" customHeight="1" x14ac:dyDescent="0.3">
      <c r="A13" s="12" t="s">
        <v>8</v>
      </c>
      <c r="B13" s="13">
        <v>160.13015206192597</v>
      </c>
      <c r="C13" s="13">
        <v>163.58116071951829</v>
      </c>
      <c r="D13" s="13">
        <v>130.37675042077996</v>
      </c>
      <c r="E13" s="13">
        <v>177.56542045259789</v>
      </c>
      <c r="F13" s="13">
        <v>171.39554236408839</v>
      </c>
      <c r="G13" s="13">
        <v>127.12342918205427</v>
      </c>
      <c r="H13" s="13">
        <v>138.76082085138052</v>
      </c>
      <c r="I13" s="13">
        <v>140.25449543143984</v>
      </c>
      <c r="J13" s="13">
        <v>119.95594201072943</v>
      </c>
      <c r="K13" s="13">
        <v>126.9625195730037</v>
      </c>
      <c r="L13" s="13">
        <v>118.18233697533233</v>
      </c>
      <c r="M13" s="13">
        <v>129.95568494473542</v>
      </c>
      <c r="N13" s="13">
        <v>128.65252477730718</v>
      </c>
      <c r="O13" s="13">
        <v>102.48880092407796</v>
      </c>
      <c r="P13" s="13">
        <v>124.06846620238748</v>
      </c>
      <c r="Q13" s="13">
        <v>99.126676985536221</v>
      </c>
      <c r="R13" s="40">
        <f t="shared" si="1"/>
        <v>91.854669796002526</v>
      </c>
      <c r="S13" s="14">
        <v>84.582662606468816</v>
      </c>
      <c r="T13" s="13">
        <v>96.506043935127366</v>
      </c>
      <c r="U13" s="13">
        <v>85.132872523058083</v>
      </c>
      <c r="V13" s="13">
        <v>94.505808697601225</v>
      </c>
      <c r="W13" s="13">
        <v>93.913852357058786</v>
      </c>
      <c r="X13" s="13">
        <v>93.603809294895512</v>
      </c>
      <c r="Y13" s="13">
        <v>112.68064832586815</v>
      </c>
      <c r="Z13" s="13">
        <v>86.810077733685418</v>
      </c>
      <c r="AA13" s="13">
        <v>117.47829366815107</v>
      </c>
      <c r="AB13" s="13">
        <v>76.869713158899344</v>
      </c>
      <c r="AC13" s="13">
        <v>80.495738794428277</v>
      </c>
      <c r="AD13" s="13">
        <v>89.289666211608221</v>
      </c>
      <c r="AE13" s="13">
        <v>67.455765908808942</v>
      </c>
      <c r="AF13" s="13">
        <v>95.30883545804619</v>
      </c>
      <c r="AG13" s="13">
        <v>105.50648402351811</v>
      </c>
      <c r="AH13" s="13">
        <v>89.148182132098384</v>
      </c>
      <c r="AI13" s="13">
        <v>96.668772934112056</v>
      </c>
      <c r="AJ13" s="13">
        <v>98.094044734429559</v>
      </c>
      <c r="AK13" s="13">
        <v>87.234673072572335</v>
      </c>
      <c r="AL13" s="13">
        <v>67.314361899947642</v>
      </c>
      <c r="AM13" s="13">
        <v>79.210916074553779</v>
      </c>
      <c r="AN13" s="13">
        <v>82.40098620785858</v>
      </c>
      <c r="AO13" s="13">
        <v>80.229436145045696</v>
      </c>
      <c r="AP13" s="13">
        <v>87.520348146629644</v>
      </c>
      <c r="AQ13" s="13">
        <v>79.64894872255482</v>
      </c>
      <c r="AR13" s="13">
        <v>69.867456622206603</v>
      </c>
      <c r="AS13" s="13">
        <v>82.348941000656126</v>
      </c>
      <c r="AT13" s="13">
        <v>92.501897709728198</v>
      </c>
      <c r="AU13" s="13">
        <v>89.8986634729538</v>
      </c>
      <c r="AV13" s="13">
        <v>80.079484753210252</v>
      </c>
      <c r="AW13" s="13">
        <v>71.689600476739088</v>
      </c>
      <c r="AX13" s="40">
        <f t="shared" si="2"/>
        <v>83.597790658856383</v>
      </c>
      <c r="AY13" s="40">
        <f t="shared" si="3"/>
        <v>89.55188574991503</v>
      </c>
      <c r="AZ13" s="40">
        <f t="shared" si="4"/>
        <v>92.528933295444347</v>
      </c>
      <c r="BA13" s="13">
        <v>95.505980840973677</v>
      </c>
      <c r="BB13" s="13">
        <v>103.03493614747268</v>
      </c>
      <c r="BC13" s="13">
        <v>95.937512172833166</v>
      </c>
      <c r="BD13" s="13">
        <v>94.349275063872312</v>
      </c>
      <c r="BE13" s="13">
        <v>92.411075600000018</v>
      </c>
      <c r="BF13" s="13">
        <v>85.974661499999982</v>
      </c>
      <c r="BG13" s="13">
        <v>87.110785433819444</v>
      </c>
      <c r="BH13" s="13">
        <v>120.44957184355974</v>
      </c>
      <c r="BI13" s="13">
        <v>96.099054299999992</v>
      </c>
      <c r="BJ13" s="13">
        <v>107.00951580000003</v>
      </c>
      <c r="BK13" s="13">
        <v>98.117217000000011</v>
      </c>
      <c r="BL13" s="13">
        <v>115.874</v>
      </c>
      <c r="BM13" s="13">
        <v>120.334</v>
      </c>
      <c r="BN13" s="13">
        <v>124.19118705520877</v>
      </c>
      <c r="BO13" s="13">
        <v>93.707999999999998</v>
      </c>
      <c r="BP13" s="13">
        <v>132.101</v>
      </c>
      <c r="BQ13" s="13">
        <v>168.398</v>
      </c>
      <c r="BR13" s="13">
        <v>153.17099999999999</v>
      </c>
      <c r="BS13" s="13">
        <v>121.271</v>
      </c>
      <c r="BT13" s="13">
        <v>117.23</v>
      </c>
      <c r="BU13" s="13">
        <v>112.214</v>
      </c>
      <c r="BV13" s="13">
        <v>67.254999999999995</v>
      </c>
      <c r="BW13" s="13">
        <v>84.203000000000003</v>
      </c>
      <c r="BX13" s="21">
        <v>67.947000000000003</v>
      </c>
      <c r="BY13" s="21">
        <v>90.83</v>
      </c>
      <c r="BZ13" s="21">
        <v>99.686999999999998</v>
      </c>
      <c r="CA13" s="21">
        <v>78.963999999999999</v>
      </c>
      <c r="CB13" s="21">
        <v>78.143000000000001</v>
      </c>
      <c r="CC13" s="21">
        <v>73.259</v>
      </c>
      <c r="CD13" s="21">
        <v>69.995999999999995</v>
      </c>
      <c r="CE13" s="21">
        <v>80.591999999999999</v>
      </c>
      <c r="CF13" s="21">
        <v>112.58799999999999</v>
      </c>
      <c r="CG13" s="21">
        <v>88.709000000000003</v>
      </c>
      <c r="CH13" s="21">
        <v>80.989999999999995</v>
      </c>
      <c r="CI13" s="21">
        <v>72.510000000000005</v>
      </c>
      <c r="CJ13" s="21">
        <v>63.62</v>
      </c>
    </row>
    <row r="14" spans="1:88" s="4" customFormat="1" ht="20.149999999999999" customHeight="1" x14ac:dyDescent="0.3">
      <c r="A14" s="12" t="s">
        <v>9</v>
      </c>
      <c r="B14" s="13">
        <v>261.21134131427903</v>
      </c>
      <c r="C14" s="13">
        <v>208.00634087847484</v>
      </c>
      <c r="D14" s="13">
        <v>185.13596333147314</v>
      </c>
      <c r="E14" s="13">
        <v>258.68530390788294</v>
      </c>
      <c r="F14" s="13">
        <v>215.39309397210454</v>
      </c>
      <c r="G14" s="13">
        <v>197.9801335877886</v>
      </c>
      <c r="H14" s="13">
        <v>200.85691176077194</v>
      </c>
      <c r="I14" s="13">
        <v>192.78237100325688</v>
      </c>
      <c r="J14" s="13">
        <v>187.36473002515552</v>
      </c>
      <c r="K14" s="13">
        <v>149.26596811161437</v>
      </c>
      <c r="L14" s="13">
        <v>197.619588890616</v>
      </c>
      <c r="M14" s="13">
        <v>164.59500814229995</v>
      </c>
      <c r="N14" s="13">
        <v>165.73925078549587</v>
      </c>
      <c r="O14" s="13">
        <v>121.1191722664302</v>
      </c>
      <c r="P14" s="13">
        <v>131.99257235278165</v>
      </c>
      <c r="Q14" s="13">
        <v>115.62228671340667</v>
      </c>
      <c r="R14" s="40">
        <f t="shared" si="1"/>
        <v>116.85100399887068</v>
      </c>
      <c r="S14" s="14">
        <v>118.07972128433468</v>
      </c>
      <c r="T14" s="13">
        <v>122.85931957632084</v>
      </c>
      <c r="U14" s="13">
        <v>140.59624377538981</v>
      </c>
      <c r="V14" s="13">
        <v>121.95511899691596</v>
      </c>
      <c r="W14" s="13">
        <v>104.12724463829326</v>
      </c>
      <c r="X14" s="13">
        <v>160.57361094864333</v>
      </c>
      <c r="Y14" s="13">
        <v>174.83403689843533</v>
      </c>
      <c r="Z14" s="13">
        <v>174.05724380840962</v>
      </c>
      <c r="AA14" s="13">
        <v>167.863448914744</v>
      </c>
      <c r="AB14" s="13">
        <v>133.34988307410649</v>
      </c>
      <c r="AC14" s="13">
        <v>127.61274533993452</v>
      </c>
      <c r="AD14" s="13">
        <v>146.2566329234275</v>
      </c>
      <c r="AE14" s="13">
        <v>130.9885272481103</v>
      </c>
      <c r="AF14" s="13">
        <v>122.13601049389048</v>
      </c>
      <c r="AG14" s="13">
        <v>123.04498656649446</v>
      </c>
      <c r="AH14" s="13">
        <v>125.90646167714864</v>
      </c>
      <c r="AI14" s="13">
        <v>120.752587670587</v>
      </c>
      <c r="AJ14" s="13">
        <v>119.81553153419173</v>
      </c>
      <c r="AK14" s="13">
        <v>137.8254539618423</v>
      </c>
      <c r="AL14" s="13">
        <v>138.10155613241332</v>
      </c>
      <c r="AM14" s="13">
        <v>109.19702725218387</v>
      </c>
      <c r="AN14" s="13">
        <v>150.27077524415455</v>
      </c>
      <c r="AO14" s="13">
        <v>115.56534235334766</v>
      </c>
      <c r="AP14" s="13">
        <v>129.11336746485327</v>
      </c>
      <c r="AQ14" s="13">
        <v>131.21234600695422</v>
      </c>
      <c r="AR14" s="13">
        <v>132.28781040461072</v>
      </c>
      <c r="AS14" s="13">
        <v>114.42205763141268</v>
      </c>
      <c r="AT14" s="13">
        <v>145.55047870972939</v>
      </c>
      <c r="AU14" s="13">
        <v>132.56404857161698</v>
      </c>
      <c r="AV14" s="13">
        <v>139.00254871579634</v>
      </c>
      <c r="AW14" s="13">
        <v>96.799211968696767</v>
      </c>
      <c r="AX14" s="40">
        <f t="shared" si="2"/>
        <v>148.72115898609289</v>
      </c>
      <c r="AY14" s="40">
        <f t="shared" si="3"/>
        <v>174.68213249479095</v>
      </c>
      <c r="AZ14" s="40">
        <f t="shared" si="4"/>
        <v>187.66261924913999</v>
      </c>
      <c r="BA14" s="13">
        <v>200.64310600348901</v>
      </c>
      <c r="BB14" s="13">
        <v>181.76983749088899</v>
      </c>
      <c r="BC14" s="13">
        <v>141.98650601671955</v>
      </c>
      <c r="BD14" s="13">
        <v>181.49733480370466</v>
      </c>
      <c r="BE14" s="13">
        <v>189.70545800000005</v>
      </c>
      <c r="BF14" s="13">
        <v>177.10588349999998</v>
      </c>
      <c r="BG14" s="13">
        <v>129.45547903563889</v>
      </c>
      <c r="BH14" s="13">
        <v>167.66945861787821</v>
      </c>
      <c r="BI14" s="13">
        <v>228.65347879999999</v>
      </c>
      <c r="BJ14" s="13">
        <v>180.43510320000004</v>
      </c>
      <c r="BK14" s="13">
        <v>193.56149339999999</v>
      </c>
      <c r="BL14" s="13">
        <v>217.29400000000001</v>
      </c>
      <c r="BM14" s="13">
        <v>245.72900000000001</v>
      </c>
      <c r="BN14" s="13">
        <v>233.87472720089991</v>
      </c>
      <c r="BO14" s="13">
        <v>211.37899999999999</v>
      </c>
      <c r="BP14" s="13">
        <v>247.59899999999999</v>
      </c>
      <c r="BQ14" s="13">
        <v>262.22000000000003</v>
      </c>
      <c r="BR14" s="13">
        <v>244.79400000000001</v>
      </c>
      <c r="BS14" s="13">
        <v>267.50099999999998</v>
      </c>
      <c r="BT14" s="13">
        <v>153.87700000000001</v>
      </c>
      <c r="BU14" s="13">
        <v>135.81100000000001</v>
      </c>
      <c r="BV14" s="13">
        <v>165.453</v>
      </c>
      <c r="BW14" s="13">
        <v>126.264</v>
      </c>
      <c r="BX14" s="21">
        <v>131.94399999999999</v>
      </c>
      <c r="BY14" s="21">
        <v>103.575</v>
      </c>
      <c r="BZ14" s="21">
        <v>135.91999999999999</v>
      </c>
      <c r="CA14" s="21">
        <v>99.784999999999997</v>
      </c>
      <c r="CB14" s="21">
        <v>119.258</v>
      </c>
      <c r="CC14" s="21">
        <v>128.47999999999999</v>
      </c>
      <c r="CD14" s="21">
        <v>110.301</v>
      </c>
      <c r="CE14" s="21">
        <v>90.355000000000004</v>
      </c>
      <c r="CF14" s="21">
        <v>146.274</v>
      </c>
      <c r="CG14" s="21">
        <v>145.249</v>
      </c>
      <c r="CH14" s="21">
        <v>147.85900000000001</v>
      </c>
      <c r="CI14" s="21">
        <v>120.52800000000001</v>
      </c>
      <c r="CJ14" s="21">
        <v>158.101</v>
      </c>
    </row>
    <row r="15" spans="1:88" ht="20.149999999999999" customHeight="1" x14ac:dyDescent="0.25">
      <c r="A15" s="12" t="s">
        <v>10</v>
      </c>
      <c r="B15" s="21">
        <v>226.60142778404864</v>
      </c>
      <c r="C15" s="21">
        <v>193.58560709640136</v>
      </c>
      <c r="D15" s="21">
        <v>205.48097759892855</v>
      </c>
      <c r="E15" s="21">
        <v>206.74463407167596</v>
      </c>
      <c r="F15" s="21">
        <v>203.57212055841191</v>
      </c>
      <c r="G15" s="21">
        <v>191.02974870265191</v>
      </c>
      <c r="H15" s="21">
        <v>205.4062112881779</v>
      </c>
      <c r="I15" s="21">
        <v>190.39669082236153</v>
      </c>
      <c r="J15" s="21">
        <v>168.98557259458681</v>
      </c>
      <c r="K15" s="21">
        <v>151.74424327184067</v>
      </c>
      <c r="L15" s="21">
        <v>173.01388014766184</v>
      </c>
      <c r="M15" s="21">
        <v>167.37637251124218</v>
      </c>
      <c r="N15" s="21">
        <v>154.84586688795423</v>
      </c>
      <c r="O15" s="21">
        <v>143.89581072756218</v>
      </c>
      <c r="P15" s="21">
        <v>158.15953826699527</v>
      </c>
      <c r="Q15" s="21">
        <v>153.8060055084772</v>
      </c>
      <c r="R15" s="40">
        <f t="shared" si="1"/>
        <v>128.56449921917101</v>
      </c>
      <c r="S15" s="21">
        <v>103.32299292986482</v>
      </c>
      <c r="T15" s="21">
        <v>152.89057858071735</v>
      </c>
      <c r="U15" s="21">
        <v>114.35854494856801</v>
      </c>
      <c r="V15" s="21">
        <v>110.20895628640912</v>
      </c>
      <c r="W15" s="21">
        <v>119.32394148439911</v>
      </c>
      <c r="X15" s="21">
        <v>142.37975518346073</v>
      </c>
      <c r="Y15" s="21">
        <v>163.29042069060878</v>
      </c>
      <c r="Z15" s="21">
        <v>121.71308896680908</v>
      </c>
      <c r="AA15" s="21">
        <v>123.69519391151371</v>
      </c>
      <c r="AB15" s="21">
        <v>130.9112140569614</v>
      </c>
      <c r="AC15" s="21">
        <v>140.95013482192985</v>
      </c>
      <c r="AD15" s="21">
        <v>138.46561365197741</v>
      </c>
      <c r="AE15" s="21">
        <v>137.93949191182179</v>
      </c>
      <c r="AF15" s="21">
        <v>117.86128321272881</v>
      </c>
      <c r="AG15" s="21">
        <v>120.2474698438552</v>
      </c>
      <c r="AH15" s="21">
        <v>142.05759266594291</v>
      </c>
      <c r="AI15" s="21">
        <v>107.31967042228256</v>
      </c>
      <c r="AJ15" s="21">
        <v>128.05617341347894</v>
      </c>
      <c r="AK15" s="21">
        <v>103.60057087459393</v>
      </c>
      <c r="AL15" s="21">
        <v>140.25209234069965</v>
      </c>
      <c r="AM15" s="21">
        <v>103.93958782430063</v>
      </c>
      <c r="AN15" s="21">
        <v>128.59407632211048</v>
      </c>
      <c r="AO15" s="21">
        <v>135.60305252022579</v>
      </c>
      <c r="AP15" s="21">
        <v>111.31247835904207</v>
      </c>
      <c r="AQ15" s="21">
        <v>116.89448338686687</v>
      </c>
      <c r="AR15" s="21">
        <v>121.01163448432946</v>
      </c>
      <c r="AS15" s="21">
        <v>123.65992929024932</v>
      </c>
      <c r="AT15" s="21">
        <v>126.42794300534746</v>
      </c>
      <c r="AU15" s="21">
        <v>95.419995555508905</v>
      </c>
      <c r="AV15" s="21">
        <v>101.54881397174034</v>
      </c>
      <c r="AW15" s="21">
        <v>119.32957026534652</v>
      </c>
      <c r="AX15" s="40">
        <f t="shared" si="2"/>
        <v>137.93882940885459</v>
      </c>
      <c r="AY15" s="40">
        <f t="shared" si="3"/>
        <v>147.24345898060864</v>
      </c>
      <c r="AZ15" s="40">
        <f t="shared" si="4"/>
        <v>151.89577376648566</v>
      </c>
      <c r="BA15" s="21">
        <v>156.54808855236266</v>
      </c>
      <c r="BB15" s="21">
        <v>137.85377109892545</v>
      </c>
      <c r="BC15" s="21">
        <v>124.18139431662642</v>
      </c>
      <c r="BD15" s="21">
        <v>114.55982276383668</v>
      </c>
      <c r="BE15" s="21">
        <v>143.43627760000004</v>
      </c>
      <c r="BF15" s="21">
        <v>151.09075799999999</v>
      </c>
      <c r="BG15" s="21">
        <v>131.05628670261109</v>
      </c>
      <c r="BH15" s="21">
        <v>142.21351186620853</v>
      </c>
      <c r="BI15" s="21">
        <v>163.90071060000002</v>
      </c>
      <c r="BJ15" s="21">
        <v>173.09486700000002</v>
      </c>
      <c r="BK15" s="21">
        <v>177.8136624</v>
      </c>
      <c r="BL15" s="21">
        <v>182.90799999999999</v>
      </c>
      <c r="BM15" s="21">
        <v>192.56100000000001</v>
      </c>
      <c r="BN15" s="21">
        <v>180.98546026929748</v>
      </c>
      <c r="BO15" s="21">
        <v>157.93600000000001</v>
      </c>
      <c r="BP15" s="21">
        <v>168.744</v>
      </c>
      <c r="BQ15" s="21">
        <v>160.54599999999999</v>
      </c>
      <c r="BR15" s="21">
        <v>132.928</v>
      </c>
      <c r="BS15" s="21">
        <v>147.27199999999999</v>
      </c>
      <c r="BT15" s="21">
        <v>203.42599999999999</v>
      </c>
      <c r="BU15" s="21">
        <v>193.90700000000001</v>
      </c>
      <c r="BV15" s="21">
        <v>179.81800000000001</v>
      </c>
      <c r="BW15" s="21">
        <v>132.55199999999999</v>
      </c>
      <c r="BX15" s="21">
        <v>119.19</v>
      </c>
      <c r="BY15" s="21">
        <v>128.435</v>
      </c>
      <c r="BZ15" s="21">
        <v>143.38399999999999</v>
      </c>
      <c r="CA15" s="21">
        <v>129.886</v>
      </c>
      <c r="CB15" s="21">
        <v>152.11600000000001</v>
      </c>
      <c r="CC15" s="21">
        <v>129.28800000000001</v>
      </c>
      <c r="CD15" s="21">
        <v>125.29900000000001</v>
      </c>
      <c r="CE15" s="21">
        <v>118.68600000000001</v>
      </c>
      <c r="CF15" s="21">
        <v>161.20400000000001</v>
      </c>
      <c r="CG15" s="21">
        <v>161.34399999999999</v>
      </c>
      <c r="CH15" s="21">
        <v>142.90700000000001</v>
      </c>
      <c r="CI15" s="21">
        <v>116.721</v>
      </c>
      <c r="CJ15" s="21">
        <v>135.53399999999999</v>
      </c>
    </row>
    <row r="16" spans="1:88" ht="20.149999999999999" customHeight="1" x14ac:dyDescent="0.25">
      <c r="A16" s="12" t="s">
        <v>11</v>
      </c>
      <c r="B16" s="21">
        <v>71.641898655566308</v>
      </c>
      <c r="C16" s="21">
        <v>53.027967439520395</v>
      </c>
      <c r="D16" s="21">
        <v>59.685566235266748</v>
      </c>
      <c r="E16" s="21">
        <v>59.08429351791343</v>
      </c>
      <c r="F16" s="21">
        <v>69.166409885230351</v>
      </c>
      <c r="G16" s="21">
        <v>46.925579281877681</v>
      </c>
      <c r="H16" s="21">
        <v>59.688000500705904</v>
      </c>
      <c r="I16" s="21">
        <v>63.748235206332239</v>
      </c>
      <c r="J16" s="21">
        <v>47.043459622612247</v>
      </c>
      <c r="K16" s="21">
        <v>38.568992352555505</v>
      </c>
      <c r="L16" s="21">
        <v>58.00194922894994</v>
      </c>
      <c r="M16" s="21">
        <v>48.763647530736058</v>
      </c>
      <c r="N16" s="21">
        <v>45.171691018794405</v>
      </c>
      <c r="O16" s="21">
        <v>47.739251288035128</v>
      </c>
      <c r="P16" s="21">
        <v>45.33404085591377</v>
      </c>
      <c r="Q16" s="21">
        <v>49.377385403625446</v>
      </c>
      <c r="R16" s="40">
        <f t="shared" si="1"/>
        <v>45.103358070130497</v>
      </c>
      <c r="S16" s="21">
        <v>40.829330736635541</v>
      </c>
      <c r="T16" s="21">
        <v>37.491175385290461</v>
      </c>
      <c r="U16" s="21">
        <v>36.07302728694961</v>
      </c>
      <c r="V16" s="21">
        <v>29.143336107656168</v>
      </c>
      <c r="W16" s="21">
        <v>34.412433587933961</v>
      </c>
      <c r="X16" s="21">
        <v>45.274378260305149</v>
      </c>
      <c r="Y16" s="21">
        <v>55.610444087668654</v>
      </c>
      <c r="Z16" s="21">
        <v>50.511963412030589</v>
      </c>
      <c r="AA16" s="21">
        <v>41.657210936446184</v>
      </c>
      <c r="AB16" s="21">
        <v>67.277863140681632</v>
      </c>
      <c r="AC16" s="21">
        <v>57.846229763911552</v>
      </c>
      <c r="AD16" s="21">
        <v>53.191208686020616</v>
      </c>
      <c r="AE16" s="21">
        <v>40.891831251860793</v>
      </c>
      <c r="AF16" s="21">
        <v>40.2412352126874</v>
      </c>
      <c r="AG16" s="21">
        <v>45.328726075109479</v>
      </c>
      <c r="AH16" s="21">
        <v>46.171268771527309</v>
      </c>
      <c r="AI16" s="21">
        <v>55.41360569069456</v>
      </c>
      <c r="AJ16" s="21">
        <v>35.45692065634524</v>
      </c>
      <c r="AK16" s="21">
        <v>46.45161058860662</v>
      </c>
      <c r="AL16" s="21">
        <v>57.831373938803992</v>
      </c>
      <c r="AM16" s="21">
        <v>54.922517412339502</v>
      </c>
      <c r="AN16" s="21">
        <v>55.257021831211539</v>
      </c>
      <c r="AO16" s="21">
        <v>49.449999331627353</v>
      </c>
      <c r="AP16" s="21">
        <v>37.255605001801833</v>
      </c>
      <c r="AQ16" s="21">
        <v>40.925335187146189</v>
      </c>
      <c r="AR16" s="21">
        <v>44.617991332815251</v>
      </c>
      <c r="AS16" s="21">
        <v>48.752467193745012</v>
      </c>
      <c r="AT16" s="21">
        <v>53.505429969519604</v>
      </c>
      <c r="AU16" s="21">
        <v>45.81814283417625</v>
      </c>
      <c r="AV16" s="21">
        <v>41.188577646368586</v>
      </c>
      <c r="AW16" s="21">
        <v>36.581872982751861</v>
      </c>
      <c r="AX16" s="40">
        <f t="shared" si="2"/>
        <v>59.400886097519319</v>
      </c>
      <c r="AY16" s="40">
        <f t="shared" si="3"/>
        <v>70.81039265490304</v>
      </c>
      <c r="AZ16" s="40">
        <f t="shared" si="4"/>
        <v>76.515145933594908</v>
      </c>
      <c r="BA16" s="21">
        <v>82.219899212286776</v>
      </c>
      <c r="BB16" s="21">
        <v>66.141843516392115</v>
      </c>
      <c r="BC16" s="21">
        <v>45.5521022987718</v>
      </c>
      <c r="BD16" s="21">
        <v>68.549135531185158</v>
      </c>
      <c r="BE16" s="21">
        <v>54.387147600000013</v>
      </c>
      <c r="BF16" s="21">
        <v>58.154487299999985</v>
      </c>
      <c r="BG16" s="21">
        <v>65.958120694388882</v>
      </c>
      <c r="BH16" s="21">
        <v>67.960009984348019</v>
      </c>
      <c r="BI16" s="21">
        <v>77.978418599999998</v>
      </c>
      <c r="BJ16" s="21">
        <v>55.430951400000012</v>
      </c>
      <c r="BK16" s="21">
        <v>48.808682999999995</v>
      </c>
      <c r="BL16" s="21">
        <v>79.763000000000005</v>
      </c>
      <c r="BM16" s="21">
        <v>106.756</v>
      </c>
      <c r="BN16" s="21">
        <v>80.189771311294095</v>
      </c>
      <c r="BO16" s="21">
        <v>61.42</v>
      </c>
      <c r="BP16" s="21">
        <v>84.747</v>
      </c>
      <c r="BQ16" s="21">
        <v>96.173000000000002</v>
      </c>
      <c r="BR16" s="21">
        <v>71.242999999999995</v>
      </c>
      <c r="BS16" s="21">
        <v>75.045000000000002</v>
      </c>
      <c r="BT16" s="21">
        <v>82.019000000000005</v>
      </c>
      <c r="BU16" s="21">
        <v>130.833</v>
      </c>
      <c r="BV16" s="21">
        <v>65.063999999999993</v>
      </c>
      <c r="BW16" s="21">
        <v>37.744</v>
      </c>
      <c r="BX16" s="21">
        <v>39.777000000000001</v>
      </c>
      <c r="BY16" s="21">
        <v>57.45</v>
      </c>
      <c r="BZ16" s="21">
        <v>73.555999999999997</v>
      </c>
      <c r="CA16" s="21">
        <v>62.954999999999998</v>
      </c>
      <c r="CB16" s="21">
        <v>51.124000000000002</v>
      </c>
      <c r="CC16" s="21">
        <v>38.784999999999997</v>
      </c>
      <c r="CD16" s="21">
        <v>43.773000000000003</v>
      </c>
      <c r="CE16" s="21">
        <v>57.576999999999998</v>
      </c>
      <c r="CF16" s="21">
        <v>61.243000000000002</v>
      </c>
      <c r="CG16" s="21">
        <v>73.072000000000003</v>
      </c>
      <c r="CH16" s="21">
        <v>65.866</v>
      </c>
      <c r="CI16" s="21">
        <v>78.965999999999994</v>
      </c>
      <c r="CJ16" s="21">
        <v>81.043000000000006</v>
      </c>
    </row>
    <row r="17" spans="1:88" ht="20.149999999999999" customHeight="1" x14ac:dyDescent="0.25">
      <c r="A17" s="12" t="s">
        <v>12</v>
      </c>
      <c r="B17" s="21">
        <v>80.792513708852752</v>
      </c>
      <c r="C17" s="21">
        <v>84.838439531719956</v>
      </c>
      <c r="D17" s="21">
        <v>69.132920677843671</v>
      </c>
      <c r="E17" s="21">
        <v>69.371641003112785</v>
      </c>
      <c r="F17" s="21">
        <v>76.938121285657544</v>
      </c>
      <c r="G17" s="21">
        <v>69.172537287031972</v>
      </c>
      <c r="H17" s="21">
        <v>53.744759466481973</v>
      </c>
      <c r="I17" s="21">
        <v>58.619278243550752</v>
      </c>
      <c r="J17" s="21">
        <v>58.918517158469577</v>
      </c>
      <c r="K17" s="21">
        <v>54.771834057510794</v>
      </c>
      <c r="L17" s="21">
        <v>47.657437378078249</v>
      </c>
      <c r="M17" s="21">
        <v>50.682183631777015</v>
      </c>
      <c r="N17" s="21">
        <v>54.668461268631525</v>
      </c>
      <c r="O17" s="21">
        <v>47.127988085754687</v>
      </c>
      <c r="P17" s="21">
        <v>40.335956419644937</v>
      </c>
      <c r="Q17" s="21">
        <v>33.957972845616069</v>
      </c>
      <c r="R17" s="40">
        <f t="shared" si="1"/>
        <v>37.05495240375221</v>
      </c>
      <c r="S17" s="21">
        <v>40.151931961888351</v>
      </c>
      <c r="T17" s="21">
        <v>32.798154219441201</v>
      </c>
      <c r="U17" s="21">
        <v>34.428727743687844</v>
      </c>
      <c r="V17" s="21">
        <v>36.461842036036188</v>
      </c>
      <c r="W17" s="21">
        <v>35.480556803463763</v>
      </c>
      <c r="X17" s="21">
        <v>34.345439848983411</v>
      </c>
      <c r="Y17" s="21">
        <v>50.326580932886046</v>
      </c>
      <c r="Z17" s="21">
        <v>56.312803938144583</v>
      </c>
      <c r="AA17" s="21">
        <v>47.128246404181361</v>
      </c>
      <c r="AB17" s="21">
        <v>28.783923965814669</v>
      </c>
      <c r="AC17" s="21">
        <v>37.477417232778521</v>
      </c>
      <c r="AD17" s="21">
        <v>34.898894390256594</v>
      </c>
      <c r="AE17" s="21">
        <v>45.978804210123343</v>
      </c>
      <c r="AF17" s="21">
        <v>32.45937873800294</v>
      </c>
      <c r="AG17" s="21">
        <v>42.991621812389631</v>
      </c>
      <c r="AH17" s="21">
        <v>36.979895038227269</v>
      </c>
      <c r="AI17" s="21">
        <v>27.158300609348906</v>
      </c>
      <c r="AJ17" s="21">
        <v>36.479399298528222</v>
      </c>
      <c r="AK17" s="21">
        <v>42.964629195537775</v>
      </c>
      <c r="AL17" s="21">
        <v>46.017349128390734</v>
      </c>
      <c r="AM17" s="21">
        <v>56.934751453245482</v>
      </c>
      <c r="AN17" s="21">
        <v>39.52589610609018</v>
      </c>
      <c r="AO17" s="21">
        <v>38.171548305617186</v>
      </c>
      <c r="AP17" s="21">
        <v>21.246189096116169</v>
      </c>
      <c r="AQ17" s="21">
        <v>26.365231863184693</v>
      </c>
      <c r="AR17" s="21">
        <v>49.236709758477161</v>
      </c>
      <c r="AS17" s="21">
        <v>53.812189243115483</v>
      </c>
      <c r="AT17" s="21">
        <v>47.265834833202177</v>
      </c>
      <c r="AU17" s="21">
        <v>47.408542860858198</v>
      </c>
      <c r="AV17" s="21">
        <v>51.943801944005642</v>
      </c>
      <c r="AW17" s="21">
        <v>49.096064516285139</v>
      </c>
      <c r="AX17" s="40">
        <f t="shared" si="2"/>
        <v>47.407074682579079</v>
      </c>
      <c r="AY17" s="40">
        <f t="shared" si="3"/>
        <v>46.562579765726056</v>
      </c>
      <c r="AZ17" s="40">
        <f t="shared" si="4"/>
        <v>46.140332307299545</v>
      </c>
      <c r="BA17" s="21">
        <v>45.718084848873026</v>
      </c>
      <c r="BB17" s="21">
        <v>44.23533839720578</v>
      </c>
      <c r="BC17" s="21">
        <v>40.277563127413075</v>
      </c>
      <c r="BD17" s="21">
        <v>51.895692787574326</v>
      </c>
      <c r="BE17" s="21">
        <v>40.762580200000002</v>
      </c>
      <c r="BF17" s="21">
        <v>40.58278769999999</v>
      </c>
      <c r="BG17" s="21">
        <v>41.662382137208333</v>
      </c>
      <c r="BH17" s="21">
        <v>38.028781054713761</v>
      </c>
      <c r="BI17" s="21">
        <v>41.320058500000002</v>
      </c>
      <c r="BJ17" s="21">
        <v>51.188781600000013</v>
      </c>
      <c r="BK17" s="21">
        <v>46.729504800000001</v>
      </c>
      <c r="BL17" s="21">
        <v>44.167000000000002</v>
      </c>
      <c r="BM17" s="21">
        <v>55.575000000000003</v>
      </c>
      <c r="BN17" s="21">
        <v>56.903987230350012</v>
      </c>
      <c r="BO17" s="21">
        <v>45.180999999999997</v>
      </c>
      <c r="BP17" s="21">
        <v>62.737000000000002</v>
      </c>
      <c r="BQ17" s="21">
        <v>74.149000000000001</v>
      </c>
      <c r="BR17" s="21">
        <v>54.533000000000001</v>
      </c>
      <c r="BS17" s="21">
        <v>56.47</v>
      </c>
      <c r="BT17" s="21">
        <v>49.881</v>
      </c>
      <c r="BU17" s="21">
        <v>84.533000000000001</v>
      </c>
      <c r="BV17" s="21">
        <v>34.451000000000001</v>
      </c>
      <c r="BW17" s="21">
        <v>31.721</v>
      </c>
      <c r="BX17" s="21">
        <v>49.904000000000003</v>
      </c>
      <c r="BY17" s="21">
        <v>25.042000000000002</v>
      </c>
      <c r="BZ17" s="21">
        <v>35.079000000000001</v>
      </c>
      <c r="CA17" s="21">
        <v>49.521000000000001</v>
      </c>
      <c r="CB17" s="21">
        <v>28.488</v>
      </c>
      <c r="CC17" s="21">
        <v>22.753</v>
      </c>
      <c r="CD17" s="21">
        <v>36.698</v>
      </c>
      <c r="CE17" s="21">
        <v>27.852</v>
      </c>
      <c r="CF17" s="21">
        <v>32.567999999999998</v>
      </c>
      <c r="CG17" s="21">
        <v>65.147000000000006</v>
      </c>
      <c r="CH17" s="21">
        <v>44.276000000000003</v>
      </c>
      <c r="CI17" s="21">
        <v>43.003</v>
      </c>
      <c r="CJ17" s="21">
        <v>77.921000000000006</v>
      </c>
    </row>
    <row r="18" spans="1:88" ht="20.149999999999999" customHeight="1" x14ac:dyDescent="0.25">
      <c r="A18" s="12" t="s">
        <v>13</v>
      </c>
      <c r="B18" s="21">
        <v>114.46175747889467</v>
      </c>
      <c r="C18" s="21">
        <v>118.77035591486876</v>
      </c>
      <c r="D18" s="21">
        <v>134.00149540365308</v>
      </c>
      <c r="E18" s="21">
        <v>105.4185880348732</v>
      </c>
      <c r="F18" s="21">
        <v>90.865696741710579</v>
      </c>
      <c r="G18" s="21">
        <v>76.59739305442605</v>
      </c>
      <c r="H18" s="21">
        <v>93.950425799731889</v>
      </c>
      <c r="I18" s="21">
        <v>69.841681287214456</v>
      </c>
      <c r="J18" s="21">
        <v>84.391281737111839</v>
      </c>
      <c r="K18" s="21">
        <v>77.574843661185739</v>
      </c>
      <c r="L18" s="21">
        <v>107.32187915980559</v>
      </c>
      <c r="M18" s="21">
        <v>79.462277057659776</v>
      </c>
      <c r="N18" s="21">
        <v>104.37028488074165</v>
      </c>
      <c r="O18" s="21">
        <v>74.507317017038133</v>
      </c>
      <c r="P18" s="21">
        <v>88.294214247442483</v>
      </c>
      <c r="Q18" s="21">
        <v>79.854438024690907</v>
      </c>
      <c r="R18" s="40">
        <f t="shared" si="1"/>
        <v>70.515295337187595</v>
      </c>
      <c r="S18" s="21">
        <v>61.176152649684283</v>
      </c>
      <c r="T18" s="21">
        <v>78.629760705993405</v>
      </c>
      <c r="U18" s="21">
        <v>64.17643226631732</v>
      </c>
      <c r="V18" s="21">
        <v>74.163742407412826</v>
      </c>
      <c r="W18" s="21">
        <v>68.099763012604612</v>
      </c>
      <c r="X18" s="21">
        <v>87.052758724208559</v>
      </c>
      <c r="Y18" s="21">
        <v>95.589332341495194</v>
      </c>
      <c r="Z18" s="21">
        <v>82.525858390917236</v>
      </c>
      <c r="AA18" s="21">
        <v>67.469641981348218</v>
      </c>
      <c r="AB18" s="21">
        <v>54.043361767209056</v>
      </c>
      <c r="AC18" s="21">
        <v>61.645458621207673</v>
      </c>
      <c r="AD18" s="21">
        <v>67.017913801367328</v>
      </c>
      <c r="AE18" s="21">
        <v>66.205577639405433</v>
      </c>
      <c r="AF18" s="21">
        <v>59.495469016911528</v>
      </c>
      <c r="AG18" s="21">
        <v>65.210173207992796</v>
      </c>
      <c r="AH18" s="21">
        <v>78.961084834105293</v>
      </c>
      <c r="AI18" s="21">
        <v>64.561124739692701</v>
      </c>
      <c r="AJ18" s="21">
        <v>78.147465416359978</v>
      </c>
      <c r="AK18" s="21">
        <v>78.037668922551333</v>
      </c>
      <c r="AL18" s="21">
        <v>72.043478693709204</v>
      </c>
      <c r="AM18" s="21">
        <v>69.2293257473479</v>
      </c>
      <c r="AN18" s="21">
        <v>98.982667874757283</v>
      </c>
      <c r="AO18" s="21">
        <v>81.195333197887564</v>
      </c>
      <c r="AP18" s="21">
        <v>97.149387230377755</v>
      </c>
      <c r="AQ18" s="21">
        <v>66.635695994942282</v>
      </c>
      <c r="AR18" s="21">
        <v>79.072580620530601</v>
      </c>
      <c r="AS18" s="21">
        <v>66.993460364563873</v>
      </c>
      <c r="AT18" s="21">
        <v>76.852816780171665</v>
      </c>
      <c r="AU18" s="21">
        <v>75.930584649192483</v>
      </c>
      <c r="AV18" s="21">
        <v>60.068389041651841</v>
      </c>
      <c r="AW18" s="21">
        <v>81.865215629456628</v>
      </c>
      <c r="AX18" s="40">
        <f t="shared" si="2"/>
        <v>93.73946987988208</v>
      </c>
      <c r="AY18" s="40">
        <f t="shared" si="3"/>
        <v>99.676597005094806</v>
      </c>
      <c r="AZ18" s="40">
        <f t="shared" si="4"/>
        <v>102.64516056770117</v>
      </c>
      <c r="BA18" s="21">
        <v>105.61372413030753</v>
      </c>
      <c r="BB18" s="21">
        <v>106.0003264493273</v>
      </c>
      <c r="BC18" s="21">
        <v>71.582742468704438</v>
      </c>
      <c r="BD18" s="21">
        <v>66.396257446111122</v>
      </c>
      <c r="BE18" s="21">
        <v>80.062390800000003</v>
      </c>
      <c r="BF18" s="21">
        <v>77.792851499999983</v>
      </c>
      <c r="BG18" s="21">
        <v>61.632104514916662</v>
      </c>
      <c r="BH18" s="21">
        <v>82.910969618184907</v>
      </c>
      <c r="BI18" s="21">
        <v>91.789811</v>
      </c>
      <c r="BJ18" s="21">
        <v>78.606871200000015</v>
      </c>
      <c r="BK18" s="21">
        <v>98.641303199999996</v>
      </c>
      <c r="BL18" s="21">
        <v>108.15</v>
      </c>
      <c r="BM18" s="21">
        <v>93.46</v>
      </c>
      <c r="BN18" s="21">
        <v>82.361702485059837</v>
      </c>
      <c r="BO18" s="21">
        <v>80.176000000000002</v>
      </c>
      <c r="BP18" s="21">
        <v>98.766000000000005</v>
      </c>
      <c r="BQ18" s="21">
        <v>138.36099999999999</v>
      </c>
      <c r="BR18" s="21">
        <v>82.19</v>
      </c>
      <c r="BS18" s="21">
        <v>112.691</v>
      </c>
      <c r="BT18" s="21">
        <v>132.62100000000001</v>
      </c>
      <c r="BU18" s="21">
        <v>127.249</v>
      </c>
      <c r="BV18" s="21">
        <v>82.070999999999998</v>
      </c>
      <c r="BW18" s="21">
        <v>67.745999999999995</v>
      </c>
      <c r="BX18" s="21">
        <v>76.611000000000004</v>
      </c>
      <c r="BY18" s="21">
        <v>89.659000000000006</v>
      </c>
      <c r="BZ18" s="21">
        <v>58.347000000000001</v>
      </c>
      <c r="CA18" s="21">
        <v>58.372</v>
      </c>
      <c r="CB18" s="21">
        <v>64.248999999999995</v>
      </c>
      <c r="CC18" s="21">
        <v>53.161999999999999</v>
      </c>
      <c r="CD18" s="21">
        <v>48.573</v>
      </c>
      <c r="CE18" s="21">
        <v>68.688000000000002</v>
      </c>
      <c r="CF18" s="21">
        <v>80.582999999999998</v>
      </c>
      <c r="CG18" s="21">
        <v>83.876000000000005</v>
      </c>
      <c r="CH18" s="21">
        <v>53.956000000000003</v>
      </c>
      <c r="CI18" s="21">
        <v>80.028999999999996</v>
      </c>
      <c r="CJ18" s="21">
        <v>90.194999999999993</v>
      </c>
    </row>
    <row r="19" spans="1:88" ht="20.149999999999999" customHeight="1" x14ac:dyDescent="0.25">
      <c r="A19" s="12" t="s">
        <v>14</v>
      </c>
      <c r="B19" s="21">
        <v>40.493690652797298</v>
      </c>
      <c r="C19" s="21">
        <v>28.8821667351963</v>
      </c>
      <c r="D19" s="21">
        <v>40.428281004537546</v>
      </c>
      <c r="E19" s="21">
        <v>18.219956253598511</v>
      </c>
      <c r="F19" s="21">
        <v>28.305187971003019</v>
      </c>
      <c r="G19" s="21">
        <v>21.65489196888916</v>
      </c>
      <c r="H19" s="21">
        <v>35.336109257885788</v>
      </c>
      <c r="I19" s="21">
        <v>32.645504556731858</v>
      </c>
      <c r="J19" s="21">
        <v>21.926937009991839</v>
      </c>
      <c r="K19" s="21">
        <v>21.903594105874028</v>
      </c>
      <c r="L19" s="21">
        <v>36.059913898758566</v>
      </c>
      <c r="M19" s="21">
        <v>36.311630066386314</v>
      </c>
      <c r="N19" s="21">
        <v>15.20880866394412</v>
      </c>
      <c r="O19" s="21">
        <v>15.992021725886781</v>
      </c>
      <c r="P19" s="21">
        <v>31.888392208117107</v>
      </c>
      <c r="Q19" s="21">
        <v>15.115402058048621</v>
      </c>
      <c r="R19" s="40">
        <f t="shared" si="1"/>
        <v>15.91746480728823</v>
      </c>
      <c r="S19" s="21">
        <v>16.71952755652784</v>
      </c>
      <c r="T19" s="21">
        <v>39.083031858918375</v>
      </c>
      <c r="U19" s="21">
        <v>26.651058872595435</v>
      </c>
      <c r="V19" s="21">
        <v>21.009260909598993</v>
      </c>
      <c r="W19" s="21">
        <v>15.045196764688148</v>
      </c>
      <c r="X19" s="21">
        <v>25.898789835850266</v>
      </c>
      <c r="Y19" s="21">
        <v>13.450574338875949</v>
      </c>
      <c r="Z19" s="21">
        <v>19.21775699468196</v>
      </c>
      <c r="AA19" s="21">
        <v>29.653991756581071</v>
      </c>
      <c r="AB19" s="21">
        <v>29.57572378786368</v>
      </c>
      <c r="AC19" s="21">
        <v>22.150093490414505</v>
      </c>
      <c r="AD19" s="21">
        <v>18.802026276476337</v>
      </c>
      <c r="AE19" s="21">
        <v>19.435398096186752</v>
      </c>
      <c r="AF19" s="21">
        <v>18.281501744888573</v>
      </c>
      <c r="AG19" s="21">
        <v>15.362007277902803</v>
      </c>
      <c r="AH19" s="21">
        <v>25.77130493214846</v>
      </c>
      <c r="AI19" s="21">
        <v>12.693029292916554</v>
      </c>
      <c r="AJ19" s="21">
        <v>22.784163695014868</v>
      </c>
      <c r="AK19" s="21">
        <v>16.86670422868</v>
      </c>
      <c r="AL19" s="21">
        <v>29.999206531418675</v>
      </c>
      <c r="AM19" s="21">
        <v>14.839063358668673</v>
      </c>
      <c r="AN19" s="21">
        <v>39.047588363770409</v>
      </c>
      <c r="AO19" s="21">
        <v>22.207359007201745</v>
      </c>
      <c r="AP19" s="21">
        <v>18.313182135309834</v>
      </c>
      <c r="AQ19" s="21">
        <v>13.26370498077056</v>
      </c>
      <c r="AR19" s="21">
        <v>24.751645397862848</v>
      </c>
      <c r="AS19" s="21">
        <v>20.72853871838868</v>
      </c>
      <c r="AT19" s="21">
        <v>13.599271737375183</v>
      </c>
      <c r="AU19" s="21">
        <v>25.780905218417129</v>
      </c>
      <c r="AV19" s="21">
        <v>23.239468241779754</v>
      </c>
      <c r="AW19" s="21">
        <v>9.3703506442291022</v>
      </c>
      <c r="AX19" s="40">
        <f t="shared" si="2"/>
        <v>15.451151368452273</v>
      </c>
      <c r="AY19" s="40">
        <f t="shared" si="3"/>
        <v>18.491551730563856</v>
      </c>
      <c r="AZ19" s="40">
        <f t="shared" si="4"/>
        <v>20.011751911619648</v>
      </c>
      <c r="BA19" s="21">
        <v>21.531952092675443</v>
      </c>
      <c r="BB19" s="21">
        <v>21.783241876656085</v>
      </c>
      <c r="BC19" s="21">
        <v>19.445562198322673</v>
      </c>
      <c r="BD19" s="21">
        <v>39.769566505761595</v>
      </c>
      <c r="BE19" s="21">
        <v>23.55685380000001</v>
      </c>
      <c r="BF19" s="21">
        <v>17.642406599999997</v>
      </c>
      <c r="BG19" s="21">
        <v>16.710574864055555</v>
      </c>
      <c r="BH19" s="21">
        <v>28.466756509609262</v>
      </c>
      <c r="BI19" s="21">
        <v>34.246718899999998</v>
      </c>
      <c r="BJ19" s="21">
        <v>29.764864800000005</v>
      </c>
      <c r="BK19" s="21">
        <v>20.870546399999998</v>
      </c>
      <c r="BL19" s="21">
        <v>36.780999999999999</v>
      </c>
      <c r="BM19" s="21">
        <v>27.911999999999999</v>
      </c>
      <c r="BN19" s="21">
        <v>21.715248255573716</v>
      </c>
      <c r="BO19" s="21">
        <v>26.308</v>
      </c>
      <c r="BP19" s="21">
        <v>34.625999999999998</v>
      </c>
      <c r="BQ19" s="21">
        <v>44.991999999999997</v>
      </c>
      <c r="BR19" s="21">
        <v>44.030999999999999</v>
      </c>
      <c r="BS19" s="21">
        <v>21.731000000000002</v>
      </c>
      <c r="BT19" s="21">
        <v>19.437999999999999</v>
      </c>
      <c r="BU19" s="21">
        <v>26.922000000000001</v>
      </c>
      <c r="BV19" s="21">
        <v>12.353</v>
      </c>
      <c r="BW19" s="21">
        <v>12.151</v>
      </c>
      <c r="BX19" s="21">
        <v>25.594000000000001</v>
      </c>
      <c r="BY19" s="21">
        <v>18.036000000000001</v>
      </c>
      <c r="BZ19" s="21">
        <v>18.827000000000002</v>
      </c>
      <c r="CA19" s="21">
        <v>20.512</v>
      </c>
      <c r="CB19" s="21">
        <v>41.369</v>
      </c>
      <c r="CC19" s="21">
        <v>16.879000000000001</v>
      </c>
      <c r="CD19" s="21">
        <v>10.945</v>
      </c>
      <c r="CE19" s="21">
        <v>21.960999999999999</v>
      </c>
      <c r="CF19" s="21">
        <v>24.791</v>
      </c>
      <c r="CG19" s="21">
        <v>21.300999999999998</v>
      </c>
      <c r="CH19" s="21">
        <v>21.331</v>
      </c>
      <c r="CI19" s="21">
        <v>15.545</v>
      </c>
      <c r="CJ19" s="21">
        <v>28.527000000000001</v>
      </c>
    </row>
    <row r="20" spans="1:88" ht="20.149999999999999" customHeight="1" x14ac:dyDescent="0.25">
      <c r="A20" s="12" t="s">
        <v>15</v>
      </c>
      <c r="B20" s="21">
        <v>29.997366907874689</v>
      </c>
      <c r="C20" s="21">
        <v>25.758505357155979</v>
      </c>
      <c r="D20" s="21">
        <v>20.551764262263841</v>
      </c>
      <c r="E20" s="21">
        <v>31.89230427202774</v>
      </c>
      <c r="F20" s="21">
        <v>28.067311239871788</v>
      </c>
      <c r="G20" s="21">
        <v>27.143006678103315</v>
      </c>
      <c r="H20" s="21">
        <v>17.459168696220171</v>
      </c>
      <c r="I20" s="21">
        <v>33.719316064278345</v>
      </c>
      <c r="J20" s="21">
        <v>28.269020010567242</v>
      </c>
      <c r="K20" s="21">
        <v>19.256742783774179</v>
      </c>
      <c r="L20" s="21">
        <v>24.429631945492535</v>
      </c>
      <c r="M20" s="21">
        <v>33.184518817202985</v>
      </c>
      <c r="N20" s="21">
        <v>17.554390395694444</v>
      </c>
      <c r="O20" s="21">
        <v>16.403915969807546</v>
      </c>
      <c r="P20" s="21">
        <v>18.688145449093888</v>
      </c>
      <c r="Q20" s="21">
        <v>24.074591491892001</v>
      </c>
      <c r="R20" s="40">
        <f t="shared" si="1"/>
        <v>19.315707351677702</v>
      </c>
      <c r="S20" s="21">
        <v>14.556823211463405</v>
      </c>
      <c r="T20" s="21">
        <v>19.090048312418745</v>
      </c>
      <c r="U20" s="21">
        <v>22.265583006131997</v>
      </c>
      <c r="V20" s="21">
        <v>17.093545801570745</v>
      </c>
      <c r="W20" s="21">
        <v>12.864167290693777</v>
      </c>
      <c r="X20" s="21">
        <v>8.0864675529621746</v>
      </c>
      <c r="Y20" s="21">
        <v>15.608126326890128</v>
      </c>
      <c r="Z20" s="21">
        <v>20.89546030371233</v>
      </c>
      <c r="AA20" s="21">
        <v>26.160365228881464</v>
      </c>
      <c r="AB20" s="21">
        <v>16.154205065117477</v>
      </c>
      <c r="AC20" s="21">
        <v>19.097572974509145</v>
      </c>
      <c r="AD20" s="21">
        <v>12.897350740875249</v>
      </c>
      <c r="AE20" s="21">
        <v>14.114399747592504</v>
      </c>
      <c r="AF20" s="21">
        <v>13.671186629845316</v>
      </c>
      <c r="AG20" s="21">
        <v>11.286432289144786</v>
      </c>
      <c r="AH20" s="21">
        <v>21.139025739880836</v>
      </c>
      <c r="AI20" s="21">
        <v>23.547113764674851</v>
      </c>
      <c r="AJ20" s="21">
        <v>22.290446689364018</v>
      </c>
      <c r="AK20" s="21">
        <v>12.131335801042352</v>
      </c>
      <c r="AL20" s="21">
        <v>14.781455348178138</v>
      </c>
      <c r="AM20" s="21">
        <v>20.620489771009705</v>
      </c>
      <c r="AN20" s="21">
        <v>8.0979580373617015</v>
      </c>
      <c r="AO20" s="21">
        <v>11.554569348396434</v>
      </c>
      <c r="AP20" s="21">
        <v>23.532361423717155</v>
      </c>
      <c r="AQ20" s="21">
        <v>13.427935966447956</v>
      </c>
      <c r="AR20" s="21">
        <v>13.976318699078805</v>
      </c>
      <c r="AS20" s="21">
        <v>18.723591112206435</v>
      </c>
      <c r="AT20" s="21">
        <v>21.643219930935324</v>
      </c>
      <c r="AU20" s="21">
        <v>11.750732690843297</v>
      </c>
      <c r="AV20" s="21">
        <v>21.842412344110191</v>
      </c>
      <c r="AW20" s="21">
        <v>15.560758876980199</v>
      </c>
      <c r="AX20" s="40">
        <f t="shared" si="2"/>
        <v>15.563311414655011</v>
      </c>
      <c r="AY20" s="40">
        <f t="shared" si="3"/>
        <v>15.564587683492418</v>
      </c>
      <c r="AZ20" s="40">
        <f t="shared" si="4"/>
        <v>15.56522581791112</v>
      </c>
      <c r="BA20" s="21">
        <v>15.565863952329824</v>
      </c>
      <c r="BB20" s="21">
        <v>13.311419838819292</v>
      </c>
      <c r="BC20" s="21">
        <v>14.680058560961159</v>
      </c>
      <c r="BD20" s="21">
        <v>23.319473618870639</v>
      </c>
      <c r="BE20" s="21">
        <v>15.447978400000004</v>
      </c>
      <c r="BF20" s="21">
        <v>20.725231799999996</v>
      </c>
      <c r="BG20" s="21">
        <v>14.434521087875002</v>
      </c>
      <c r="BH20" s="21">
        <v>22.236937326010896</v>
      </c>
      <c r="BI20" s="21">
        <v>21.727998500000002</v>
      </c>
      <c r="BJ20" s="21">
        <v>25.055157600000008</v>
      </c>
      <c r="BK20" s="21">
        <v>24.630031799999998</v>
      </c>
      <c r="BL20" s="21">
        <v>23.405000000000001</v>
      </c>
      <c r="BM20" s="21">
        <v>21.135999999999999</v>
      </c>
      <c r="BN20" s="21">
        <v>26.167808748845591</v>
      </c>
      <c r="BO20" s="21">
        <v>25.016999999999999</v>
      </c>
      <c r="BP20" s="21">
        <v>25.649000000000001</v>
      </c>
      <c r="BQ20" s="21">
        <v>40.04</v>
      </c>
      <c r="BR20" s="21">
        <v>14.840999999999999</v>
      </c>
      <c r="BS20" s="21">
        <v>28.916</v>
      </c>
      <c r="BT20" s="21">
        <v>26.285</v>
      </c>
      <c r="BU20" s="21">
        <v>26.38</v>
      </c>
      <c r="BV20" s="21">
        <v>28.077999999999999</v>
      </c>
      <c r="BW20" s="21">
        <v>21.369</v>
      </c>
      <c r="BX20" s="21">
        <v>20.559000000000001</v>
      </c>
      <c r="BY20" s="21">
        <v>26.613</v>
      </c>
      <c r="BZ20" s="21">
        <v>14.927</v>
      </c>
      <c r="CA20" s="21">
        <v>16.734999999999999</v>
      </c>
      <c r="CB20" s="21">
        <v>26.457999999999998</v>
      </c>
      <c r="CC20" s="21">
        <v>22.722999999999999</v>
      </c>
      <c r="CD20" s="21">
        <v>16.308</v>
      </c>
      <c r="CE20" s="21">
        <v>14.853999999999999</v>
      </c>
      <c r="CF20" s="21">
        <v>31.378</v>
      </c>
      <c r="CG20" s="21">
        <v>27.125</v>
      </c>
      <c r="CH20" s="21">
        <v>17.693000000000001</v>
      </c>
      <c r="CI20" s="21">
        <v>20.530999999999999</v>
      </c>
      <c r="CJ20" s="21">
        <v>29.754999999999999</v>
      </c>
    </row>
    <row r="21" spans="1:88" ht="20.149999999999999" customHeight="1" x14ac:dyDescent="0.25">
      <c r="A21" s="12" t="s">
        <v>42</v>
      </c>
      <c r="B21" s="21">
        <v>174.19938849684851</v>
      </c>
      <c r="C21" s="21">
        <v>171.76474653827344</v>
      </c>
      <c r="D21" s="21">
        <v>168.67133073997914</v>
      </c>
      <c r="E21" s="21">
        <v>187.0922881187528</v>
      </c>
      <c r="F21" s="21">
        <v>160.71037676570705</v>
      </c>
      <c r="G21" s="21">
        <v>151.71717743458075</v>
      </c>
      <c r="H21" s="21">
        <v>163.31287306167448</v>
      </c>
      <c r="I21" s="21">
        <v>123.22676699683501</v>
      </c>
      <c r="J21" s="21">
        <v>136.27475207068952</v>
      </c>
      <c r="K21" s="21">
        <v>148.98329466944836</v>
      </c>
      <c r="L21" s="21">
        <v>141.81245741607171</v>
      </c>
      <c r="M21" s="21">
        <v>124.46579902138242</v>
      </c>
      <c r="N21" s="21">
        <v>121.95505845948986</v>
      </c>
      <c r="O21" s="21">
        <v>114.54505676640738</v>
      </c>
      <c r="P21" s="21">
        <v>124.2386642865368</v>
      </c>
      <c r="Q21" s="21">
        <v>103.88038783658918</v>
      </c>
      <c r="R21" s="40">
        <f t="shared" si="1"/>
        <v>94.597154835421605</v>
      </c>
      <c r="S21" s="21">
        <v>85.313921834254032</v>
      </c>
      <c r="T21" s="21">
        <v>84.329666760411399</v>
      </c>
      <c r="U21" s="21">
        <v>102.95102643719299</v>
      </c>
      <c r="V21" s="21">
        <v>87.001588802993524</v>
      </c>
      <c r="W21" s="21">
        <v>82.893412472297356</v>
      </c>
      <c r="X21" s="21">
        <v>78.233858281878099</v>
      </c>
      <c r="Y21" s="21">
        <v>92.016841868423541</v>
      </c>
      <c r="Z21" s="21">
        <v>106.33869497091651</v>
      </c>
      <c r="AA21" s="21">
        <v>108.56056707583373</v>
      </c>
      <c r="AB21" s="21">
        <v>110.38954910383208</v>
      </c>
      <c r="AC21" s="21">
        <v>82.420951891959746</v>
      </c>
      <c r="AD21" s="21">
        <v>88.356217765002526</v>
      </c>
      <c r="AE21" s="21">
        <v>89.455179027138527</v>
      </c>
      <c r="AF21" s="21">
        <v>72.143821741799528</v>
      </c>
      <c r="AG21" s="21">
        <v>75.22049400674787</v>
      </c>
      <c r="AH21" s="21">
        <v>70.131511278038445</v>
      </c>
      <c r="AI21" s="21">
        <v>85.876260275562203</v>
      </c>
      <c r="AJ21" s="21">
        <v>81.049985432879424</v>
      </c>
      <c r="AK21" s="21">
        <v>73.438129981233047</v>
      </c>
      <c r="AL21" s="21">
        <v>106.57479846215912</v>
      </c>
      <c r="AM21" s="21">
        <v>100.64270719230781</v>
      </c>
      <c r="AN21" s="21">
        <v>105.9961150963809</v>
      </c>
      <c r="AO21" s="21">
        <v>101.87318284625299</v>
      </c>
      <c r="AP21" s="21">
        <v>98.700755414657451</v>
      </c>
      <c r="AQ21" s="21">
        <v>66.792741874996295</v>
      </c>
      <c r="AR21" s="21">
        <v>75.690838598768082</v>
      </c>
      <c r="AS21" s="21">
        <v>77.486691177824198</v>
      </c>
      <c r="AT21" s="21">
        <v>92.846538160417552</v>
      </c>
      <c r="AU21" s="21">
        <v>94.115026264094197</v>
      </c>
      <c r="AV21" s="21">
        <v>89.335356167131607</v>
      </c>
      <c r="AW21" s="21">
        <v>75.738987880570107</v>
      </c>
      <c r="AX21" s="40">
        <f t="shared" si="2"/>
        <v>94.635365477810296</v>
      </c>
      <c r="AY21" s="40">
        <f t="shared" si="3"/>
        <v>104.08355427643039</v>
      </c>
      <c r="AZ21" s="40">
        <f t="shared" si="4"/>
        <v>108.80764867574044</v>
      </c>
      <c r="BA21" s="21">
        <v>113.53174307505047</v>
      </c>
      <c r="BB21" s="21">
        <v>105.845742218941</v>
      </c>
      <c r="BC21" s="21">
        <v>90.675116990357097</v>
      </c>
      <c r="BD21" s="21">
        <v>138.6714503021683</v>
      </c>
      <c r="BE21" s="21">
        <v>105.49922680000003</v>
      </c>
      <c r="BF21" s="21">
        <v>116.91503459999998</v>
      </c>
      <c r="BG21" s="21">
        <v>103.439831106125</v>
      </c>
      <c r="BH21" s="21">
        <v>132.48775748532483</v>
      </c>
      <c r="BI21" s="21">
        <v>135.1377487</v>
      </c>
      <c r="BJ21" s="21">
        <v>132.70791600000001</v>
      </c>
      <c r="BK21" s="21">
        <v>140.69442419999999</v>
      </c>
      <c r="BL21" s="21">
        <v>143.74199999999999</v>
      </c>
      <c r="BM21" s="21">
        <v>149.143</v>
      </c>
      <c r="BN21" s="21">
        <v>115.41711336586603</v>
      </c>
      <c r="BO21" s="21">
        <v>117.593</v>
      </c>
      <c r="BP21" s="21">
        <v>134.56299999999999</v>
      </c>
      <c r="BQ21" s="21">
        <v>192.476</v>
      </c>
      <c r="BR21" s="21">
        <v>178.64699999999999</v>
      </c>
      <c r="BS21" s="21">
        <v>196.958</v>
      </c>
      <c r="BT21" s="21">
        <v>163.99700000000001</v>
      </c>
      <c r="BU21" s="21">
        <v>108.39400000000001</v>
      </c>
      <c r="BV21" s="21">
        <v>158.32900000000001</v>
      </c>
      <c r="BW21" s="21">
        <v>87.956000000000003</v>
      </c>
      <c r="BX21" s="21">
        <v>114.06100000000001</v>
      </c>
      <c r="BY21" s="21">
        <v>77.716999999999999</v>
      </c>
      <c r="BZ21" s="21">
        <v>84.572999999999993</v>
      </c>
      <c r="CA21" s="21">
        <v>67.665999999999997</v>
      </c>
      <c r="CB21" s="21">
        <v>98.813000000000002</v>
      </c>
      <c r="CC21" s="21">
        <v>101.14700000000001</v>
      </c>
      <c r="CD21" s="21">
        <v>74.069999999999993</v>
      </c>
      <c r="CE21" s="21">
        <v>76.573999999999998</v>
      </c>
      <c r="CF21" s="21">
        <v>122.66200000000001</v>
      </c>
      <c r="CG21" s="21">
        <v>108.586</v>
      </c>
      <c r="CH21" s="21">
        <v>106.30800000000001</v>
      </c>
      <c r="CI21" s="21">
        <v>108.163</v>
      </c>
      <c r="CJ21" s="21">
        <v>127.34399999999999</v>
      </c>
    </row>
    <row r="22" spans="1:88" ht="20.149999999999999" customHeight="1" x14ac:dyDescent="0.25">
      <c r="A22" s="27" t="s">
        <v>99</v>
      </c>
      <c r="B22" s="21">
        <v>94.344483800591391</v>
      </c>
      <c r="C22" s="21">
        <v>66.669312095998123</v>
      </c>
      <c r="D22" s="21">
        <v>79.380794804752767</v>
      </c>
      <c r="E22" s="21">
        <v>78.156353665140017</v>
      </c>
      <c r="F22" s="21">
        <v>55.708158790598389</v>
      </c>
      <c r="G22" s="21">
        <v>55.525364022792722</v>
      </c>
      <c r="H22" s="21">
        <v>66.825022074273946</v>
      </c>
      <c r="I22" s="21">
        <v>78.928721770676304</v>
      </c>
      <c r="J22" s="21">
        <v>52.936580145461477</v>
      </c>
      <c r="K22" s="21">
        <v>53.700758687558142</v>
      </c>
      <c r="L22" s="21">
        <v>68.199047947063022</v>
      </c>
      <c r="M22" s="21">
        <v>62.769987023469255</v>
      </c>
      <c r="N22" s="21">
        <v>51.157178080385265</v>
      </c>
      <c r="O22" s="21">
        <v>51.62846401380294</v>
      </c>
      <c r="P22" s="21">
        <v>42.697949599089355</v>
      </c>
      <c r="Q22" s="21">
        <v>32.783478947434361</v>
      </c>
      <c r="R22" s="40">
        <f t="shared" si="1"/>
        <v>41.341040676657599</v>
      </c>
      <c r="S22" s="21">
        <v>49.898602405880844</v>
      </c>
      <c r="T22" s="21">
        <v>41.829544788769347</v>
      </c>
      <c r="U22" s="21">
        <v>24.033789000461052</v>
      </c>
      <c r="V22" s="21">
        <v>42.239609874230958</v>
      </c>
      <c r="W22" s="21">
        <v>33.551074634464797</v>
      </c>
      <c r="X22" s="21">
        <v>34.771531986144431</v>
      </c>
      <c r="Y22" s="21">
        <v>49.043051421602833</v>
      </c>
      <c r="Z22" s="21">
        <v>38.318705898224245</v>
      </c>
      <c r="AA22" s="21">
        <v>41.369476508639146</v>
      </c>
      <c r="AB22" s="21">
        <v>45.682476689732631</v>
      </c>
      <c r="AC22" s="21">
        <v>32.655207607652081</v>
      </c>
      <c r="AD22" s="21">
        <v>27.42721274527689</v>
      </c>
      <c r="AE22" s="21">
        <v>50.370885987444879</v>
      </c>
      <c r="AF22" s="21">
        <v>46.207136113043759</v>
      </c>
      <c r="AG22" s="21">
        <v>23.020622995970175</v>
      </c>
      <c r="AH22" s="21">
        <v>55.89555045818792</v>
      </c>
      <c r="AI22" s="21">
        <v>49.874194895710033</v>
      </c>
      <c r="AJ22" s="21">
        <v>45.271478751976616</v>
      </c>
      <c r="AK22" s="21">
        <v>65.665780138103699</v>
      </c>
      <c r="AL22" s="21">
        <v>61.197968751200442</v>
      </c>
      <c r="AM22" s="21">
        <v>51.367260555268857</v>
      </c>
      <c r="AN22" s="21">
        <v>57.223282571921736</v>
      </c>
      <c r="AO22" s="21">
        <v>60.664332994386768</v>
      </c>
      <c r="AP22" s="21">
        <v>48.322169374385503</v>
      </c>
      <c r="AQ22" s="21">
        <v>43.599220922706273</v>
      </c>
      <c r="AR22" s="21">
        <v>46.785981813772004</v>
      </c>
      <c r="AS22" s="21">
        <v>58.484019418928071</v>
      </c>
      <c r="AT22" s="21">
        <v>62.534208288160023</v>
      </c>
      <c r="AU22" s="21">
        <v>47.293369055399488</v>
      </c>
      <c r="AV22" s="21">
        <v>50.10847366494226</v>
      </c>
      <c r="AW22" s="21">
        <v>40.80374543696896</v>
      </c>
      <c r="AX22" s="40">
        <f t="shared" si="2"/>
        <v>60.200922191348056</v>
      </c>
      <c r="AY22" s="40">
        <f t="shared" si="3"/>
        <v>69.899510568537607</v>
      </c>
      <c r="AZ22" s="40">
        <f t="shared" si="4"/>
        <v>74.748804757132376</v>
      </c>
      <c r="BA22" s="21">
        <v>79.598098945727159</v>
      </c>
      <c r="BB22" s="21">
        <v>59.378530848380244</v>
      </c>
      <c r="BC22" s="21">
        <v>59.106817889941922</v>
      </c>
      <c r="BD22" s="21">
        <v>55.681439871384036</v>
      </c>
      <c r="BE22" s="21">
        <v>67.185371400000022</v>
      </c>
      <c r="BF22" s="21">
        <v>58.61004239999999</v>
      </c>
      <c r="BG22" s="21">
        <v>57.039623503111109</v>
      </c>
      <c r="BH22" s="21">
        <v>68.058045750215797</v>
      </c>
      <c r="BI22" s="21">
        <v>76.938221600000006</v>
      </c>
      <c r="BJ22" s="21">
        <v>75.939989400000016</v>
      </c>
      <c r="BK22" s="21">
        <v>50.759616600000001</v>
      </c>
      <c r="BL22" s="21">
        <v>92.141000000000005</v>
      </c>
      <c r="BM22" s="21">
        <v>88.105000000000004</v>
      </c>
      <c r="BN22" s="21">
        <v>71.579252775822411</v>
      </c>
      <c r="BO22" s="21">
        <v>74.647000000000006</v>
      </c>
      <c r="BP22" s="21">
        <v>106.057</v>
      </c>
      <c r="BQ22" s="21">
        <v>80.698999999999998</v>
      </c>
      <c r="BR22" s="21">
        <v>116.831</v>
      </c>
      <c r="BS22" s="21">
        <v>116.935</v>
      </c>
      <c r="BT22" s="21">
        <v>70.510000000000005</v>
      </c>
      <c r="BU22" s="21">
        <v>68.697999999999993</v>
      </c>
      <c r="BV22" s="21">
        <v>54.865000000000002</v>
      </c>
      <c r="BW22" s="21">
        <v>40.497</v>
      </c>
      <c r="BX22" s="21">
        <v>47.743000000000002</v>
      </c>
      <c r="BY22" s="21">
        <v>67.153999999999996</v>
      </c>
      <c r="BZ22" s="21">
        <v>69.778999999999996</v>
      </c>
      <c r="CA22" s="21">
        <v>36.472999999999999</v>
      </c>
      <c r="CB22" s="21">
        <v>48.252000000000002</v>
      </c>
      <c r="CC22" s="21">
        <v>52.67</v>
      </c>
      <c r="CD22" s="21">
        <v>48.634999999999998</v>
      </c>
      <c r="CE22" s="21">
        <v>38.064999999999998</v>
      </c>
      <c r="CF22" s="21">
        <v>72.543999999999997</v>
      </c>
      <c r="CG22" s="21">
        <v>61.99</v>
      </c>
      <c r="CH22" s="21">
        <v>67.402000000000001</v>
      </c>
      <c r="CI22" s="21">
        <v>71.703000000000003</v>
      </c>
      <c r="CJ22" s="21">
        <v>60.381</v>
      </c>
    </row>
    <row r="23" spans="1:88" ht="20.149999999999999" customHeight="1" x14ac:dyDescent="0.25">
      <c r="A23" s="12" t="s">
        <v>16</v>
      </c>
      <c r="B23" s="21">
        <v>4.6105061239604685</v>
      </c>
      <c r="C23" s="21">
        <v>0.36527506016823336</v>
      </c>
      <c r="D23" s="21">
        <v>2.3261920598151851</v>
      </c>
      <c r="E23" s="21">
        <v>2.4310921122865974</v>
      </c>
      <c r="F23" s="21">
        <v>2.0669559205051797</v>
      </c>
      <c r="G23" s="21">
        <v>2.4623402682667566</v>
      </c>
      <c r="H23" s="21">
        <v>1.6290023352872836</v>
      </c>
      <c r="I23" s="21">
        <v>3.7414821509374074</v>
      </c>
      <c r="J23" s="21">
        <v>1.5411125050644137</v>
      </c>
      <c r="K23" s="21">
        <v>0</v>
      </c>
      <c r="L23" s="21">
        <v>1.5130320153971655</v>
      </c>
      <c r="M23" s="21">
        <v>3.2686930577093434</v>
      </c>
      <c r="N23" s="21">
        <v>0.4689137917963726</v>
      </c>
      <c r="O23" s="21">
        <v>2.1191807045947928</v>
      </c>
      <c r="P23" s="21">
        <v>1.4536103814846408</v>
      </c>
      <c r="Q23" s="21">
        <v>1.9912687747429301</v>
      </c>
      <c r="R23" s="40">
        <f t="shared" si="1"/>
        <v>1.215219311295632</v>
      </c>
      <c r="S23" s="21">
        <v>0.43916984784833379</v>
      </c>
      <c r="T23" s="21">
        <v>0.48407927335035794</v>
      </c>
      <c r="U23" s="21">
        <v>3.14133322255012</v>
      </c>
      <c r="V23" s="21">
        <v>0.45396747300101659</v>
      </c>
      <c r="W23" s="21">
        <v>2.5392938174726991</v>
      </c>
      <c r="X23" s="21">
        <v>2.5092092521704457</v>
      </c>
      <c r="Y23" s="21">
        <v>3.8709620181557569</v>
      </c>
      <c r="Z23" s="21">
        <v>2.090299630959231</v>
      </c>
      <c r="AA23" s="21">
        <v>0.27957174900399862</v>
      </c>
      <c r="AB23" s="21">
        <v>1.1193127919212258</v>
      </c>
      <c r="AC23" s="21">
        <v>0.59601429060557121</v>
      </c>
      <c r="AD23" s="21">
        <v>0.40736017735642804</v>
      </c>
      <c r="AE23" s="21">
        <v>0.7421068298676009</v>
      </c>
      <c r="AF23" s="21">
        <v>0.53694053421049226</v>
      </c>
      <c r="AG23" s="21">
        <v>0.42537049679657363</v>
      </c>
      <c r="AH23" s="21">
        <v>0.43910790741121686</v>
      </c>
      <c r="AI23" s="21">
        <v>2.3356241143728735</v>
      </c>
      <c r="AJ23" s="21">
        <v>2.2057502966447329</v>
      </c>
      <c r="AK23" s="21">
        <v>1.9804146478624696</v>
      </c>
      <c r="AL23" s="21">
        <v>2.3031881789464639</v>
      </c>
      <c r="AM23" s="21">
        <v>3.6286357049927371</v>
      </c>
      <c r="AN23" s="21">
        <v>2.708677540745664</v>
      </c>
      <c r="AO23" s="21">
        <v>1.1768638609572313</v>
      </c>
      <c r="AP23" s="21">
        <v>1.1839661126190706</v>
      </c>
      <c r="AQ23" s="21">
        <v>1.4626822161892932</v>
      </c>
      <c r="AR23" s="21">
        <v>12.882730580366115</v>
      </c>
      <c r="AS23" s="21">
        <v>12.934943661557382</v>
      </c>
      <c r="AT23" s="21">
        <v>4.340065210425025</v>
      </c>
      <c r="AU23" s="21">
        <v>4.0701421337754331</v>
      </c>
      <c r="AV23" s="21">
        <v>1.5745712558084852</v>
      </c>
      <c r="AW23" s="21">
        <v>2.4147907054049313</v>
      </c>
      <c r="AX23" s="40">
        <f t="shared" si="2"/>
        <v>3.5276531725485487</v>
      </c>
      <c r="AY23" s="40">
        <f t="shared" si="3"/>
        <v>4.0840844061203576</v>
      </c>
      <c r="AZ23" s="40">
        <f t="shared" si="4"/>
        <v>4.3623000229062612</v>
      </c>
      <c r="BA23" s="21">
        <v>4.6405156396921656</v>
      </c>
      <c r="BB23" s="21">
        <v>3.017928733097019</v>
      </c>
      <c r="BC23" s="21">
        <v>3.8455964795017512</v>
      </c>
      <c r="BD23" s="21">
        <v>1.8200318021843069</v>
      </c>
      <c r="BE23" s="21">
        <v>0.94756760000000051</v>
      </c>
      <c r="BF23" s="21">
        <v>3.2121179999999994</v>
      </c>
      <c r="BG23" s="21">
        <v>1.3494828819305555</v>
      </c>
      <c r="BH23" s="21">
        <v>3.5121060452635162</v>
      </c>
      <c r="BI23" s="21">
        <v>1.2169295</v>
      </c>
      <c r="BJ23" s="21">
        <v>1.3056714000000003</v>
      </c>
      <c r="BK23" s="21">
        <v>4.7581775999999998</v>
      </c>
      <c r="BL23" s="21">
        <v>1.4079999999999999</v>
      </c>
      <c r="BM23" s="21">
        <v>2.2080000000000002</v>
      </c>
      <c r="BN23" s="21">
        <v>5.4166216176421722</v>
      </c>
      <c r="BO23" s="21">
        <v>2.3969999999999998</v>
      </c>
      <c r="BP23" s="37">
        <v>0.33700000000000002</v>
      </c>
      <c r="BQ23" s="37">
        <v>14.353</v>
      </c>
      <c r="BR23" s="37">
        <v>4.734</v>
      </c>
      <c r="BS23" s="37">
        <v>2.3170000000000002</v>
      </c>
      <c r="BT23" s="37">
        <v>6.3319999999999999</v>
      </c>
      <c r="BU23" s="37">
        <v>9.3059999999999992</v>
      </c>
      <c r="BV23" s="37">
        <v>2.8159999999999998</v>
      </c>
      <c r="BW23" s="37">
        <v>1.895</v>
      </c>
      <c r="BX23" s="21">
        <v>4.3630000000000004</v>
      </c>
      <c r="BY23" s="21">
        <v>1.0409999999999999</v>
      </c>
      <c r="BZ23" s="21">
        <v>0.90900000000000003</v>
      </c>
      <c r="CA23" s="21">
        <v>1.321</v>
      </c>
      <c r="CB23" s="21">
        <v>0.84899999999999998</v>
      </c>
      <c r="CC23" s="21">
        <v>2.5619999999999998</v>
      </c>
      <c r="CD23" s="21">
        <v>5.1790000000000003</v>
      </c>
      <c r="CE23" s="21">
        <v>3.1680000000000001</v>
      </c>
      <c r="CF23" s="21">
        <v>1.1379999999999999</v>
      </c>
      <c r="CG23" s="21">
        <v>1.8169999999999999</v>
      </c>
      <c r="CH23" s="21">
        <v>3.3420000000000001</v>
      </c>
      <c r="CI23" s="21">
        <v>4.1139999999999999</v>
      </c>
      <c r="CJ23" s="21">
        <v>1.98</v>
      </c>
    </row>
    <row r="24" spans="1:88" ht="20.149999999999999" customHeight="1" x14ac:dyDescent="0.25">
      <c r="A24" s="12" t="s">
        <v>17</v>
      </c>
      <c r="B24" s="21">
        <v>3.6922818461192599</v>
      </c>
      <c r="C24" s="21">
        <v>1.227080007138968</v>
      </c>
      <c r="D24" s="21">
        <v>5.4691993700558408</v>
      </c>
      <c r="E24" s="21">
        <v>7.5192823874995023</v>
      </c>
      <c r="F24" s="21">
        <v>5.4679502655976826</v>
      </c>
      <c r="G24" s="21">
        <v>0.42129742131474401</v>
      </c>
      <c r="H24" s="21">
        <v>2.7653007506389047</v>
      </c>
      <c r="I24" s="21">
        <v>0</v>
      </c>
      <c r="J24" s="21">
        <v>0</v>
      </c>
      <c r="K24" s="21">
        <v>0</v>
      </c>
      <c r="L24" s="21">
        <v>3.6474513334642098</v>
      </c>
      <c r="M24" s="21">
        <v>4.7450424958900541</v>
      </c>
      <c r="N24" s="21">
        <v>0.10330282238278621</v>
      </c>
      <c r="O24" s="21">
        <v>6.489105385798382</v>
      </c>
      <c r="P24" s="21">
        <v>3.2713655011492322</v>
      </c>
      <c r="Q24" s="21">
        <v>4.4000453027652933</v>
      </c>
      <c r="R24" s="40">
        <f t="shared" si="1"/>
        <v>5.3850398262261052</v>
      </c>
      <c r="S24" s="21">
        <v>6.3700343496869172</v>
      </c>
      <c r="T24" s="21">
        <v>13.148612178455407</v>
      </c>
      <c r="U24" s="21">
        <v>2.7543794696268749</v>
      </c>
      <c r="V24" s="21">
        <v>4.0120112386648286</v>
      </c>
      <c r="W24" s="21">
        <v>1.2977554144081864</v>
      </c>
      <c r="X24" s="21">
        <v>5.9755012786611772</v>
      </c>
      <c r="Y24" s="21">
        <v>0.25161253118012417</v>
      </c>
      <c r="Z24" s="21">
        <v>7.1742775977401996</v>
      </c>
      <c r="AA24" s="21">
        <v>7.1107135722951345</v>
      </c>
      <c r="AB24" s="21">
        <v>5.1639118829283497</v>
      </c>
      <c r="AC24" s="21">
        <v>6.9261304110890531</v>
      </c>
      <c r="AD24" s="21">
        <v>3.2824223336232778</v>
      </c>
      <c r="AE24" s="21">
        <v>7.0474488158657644</v>
      </c>
      <c r="AF24" s="21">
        <v>8.1013739052533769</v>
      </c>
      <c r="AG24" s="21">
        <v>1.6946682721346336</v>
      </c>
      <c r="AH24" s="21">
        <v>1.8543547545370402</v>
      </c>
      <c r="AI24" s="21">
        <v>0.24833964660730906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1.6434801283281215</v>
      </c>
      <c r="AV24" s="21">
        <v>7.182853079044822</v>
      </c>
      <c r="AW24" s="21">
        <v>9.8216196714019528</v>
      </c>
      <c r="AX24" s="40">
        <f t="shared" si="2"/>
        <v>10.740799120063471</v>
      </c>
      <c r="AY24" s="40">
        <f t="shared" si="3"/>
        <v>11.200388844394231</v>
      </c>
      <c r="AZ24" s="40">
        <f t="shared" si="4"/>
        <v>11.43018370655961</v>
      </c>
      <c r="BA24" s="29">
        <v>11.659978568724991</v>
      </c>
      <c r="BB24" s="29">
        <v>15.981786642158902</v>
      </c>
      <c r="BC24" s="29">
        <v>3.6431966647911334</v>
      </c>
      <c r="BD24" s="29">
        <v>76.006308635076493</v>
      </c>
      <c r="BE24" s="29">
        <v>12.595173600000004</v>
      </c>
      <c r="BF24" s="29">
        <v>13.188875699999997</v>
      </c>
      <c r="BG24" s="29">
        <v>12.29876508326389</v>
      </c>
      <c r="BH24" s="29">
        <v>9.5478750531235779</v>
      </c>
      <c r="BI24" s="29">
        <v>13.033769400000001</v>
      </c>
      <c r="BJ24" s="29">
        <v>11.476377000000003</v>
      </c>
      <c r="BK24" s="29">
        <v>8.6186429999999987</v>
      </c>
      <c r="BL24" s="29">
        <v>13.801</v>
      </c>
      <c r="BM24" s="29">
        <v>12.208</v>
      </c>
      <c r="BN24" s="29">
        <v>9.0808665866660494</v>
      </c>
      <c r="BO24" s="29">
        <v>17.003999999999792</v>
      </c>
      <c r="BP24" s="29">
        <v>7.7210000000000001</v>
      </c>
      <c r="BQ24" s="29">
        <v>4.1239999999999997</v>
      </c>
      <c r="BR24" s="29">
        <v>72.625</v>
      </c>
      <c r="BS24" s="29">
        <v>11.243</v>
      </c>
      <c r="BT24" s="29">
        <v>21.536999999999999</v>
      </c>
      <c r="BU24" s="29">
        <v>5.0049999999999999</v>
      </c>
      <c r="BV24" s="29">
        <v>7.2850000000000001</v>
      </c>
      <c r="BW24" s="29">
        <v>649.75400000000002</v>
      </c>
      <c r="BX24" s="21">
        <v>15.912000000000001</v>
      </c>
      <c r="BY24" s="21">
        <v>9.2840000000001162</v>
      </c>
      <c r="BZ24" s="21">
        <v>10.765000000000001</v>
      </c>
      <c r="CA24" s="21">
        <v>3.87</v>
      </c>
      <c r="CB24" s="21">
        <v>9.2349999999999994</v>
      </c>
      <c r="CC24" s="21">
        <v>5.7320000000000002</v>
      </c>
      <c r="CD24" s="21">
        <v>3.5209999999999999</v>
      </c>
      <c r="CE24" s="21">
        <v>8.2560000000000002</v>
      </c>
      <c r="CF24" s="21">
        <v>7.9489999999999998</v>
      </c>
      <c r="CG24" s="21">
        <v>9.9339999999999993</v>
      </c>
      <c r="CH24" s="21">
        <v>0.91800000000000004</v>
      </c>
      <c r="CI24" s="21">
        <v>5.3959999999999999</v>
      </c>
      <c r="CJ24" s="21">
        <v>4.2569999999999997</v>
      </c>
    </row>
    <row r="25" spans="1:88" s="4" customFormat="1" ht="20.149999999999999" customHeight="1" thickBot="1" x14ac:dyDescent="0.35">
      <c r="A25" s="15" t="s">
        <v>18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6"/>
      <c r="Z25" s="16"/>
      <c r="AA25" s="16"/>
      <c r="AB25" s="16"/>
      <c r="AC25" s="16"/>
      <c r="AD25" s="16"/>
      <c r="AE25" s="16"/>
      <c r="AF25" s="16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31"/>
      <c r="AY25" s="31"/>
      <c r="AZ25" s="31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</row>
    <row r="26" spans="1:88" s="4" customFormat="1" ht="20.149999999999999" customHeight="1" x14ac:dyDescent="0.3">
      <c r="A26" s="12" t="s">
        <v>19</v>
      </c>
      <c r="B26" s="13">
        <v>856.21649770258398</v>
      </c>
      <c r="C26" s="13">
        <v>762.13014062844627</v>
      </c>
      <c r="D26" s="13">
        <v>761.80043351114534</v>
      </c>
      <c r="E26" s="13">
        <v>799.81403426319321</v>
      </c>
      <c r="F26" s="13">
        <v>750.47537031567686</v>
      </c>
      <c r="G26" s="13">
        <v>650.00325396865412</v>
      </c>
      <c r="H26" s="13">
        <v>684.608167557088</v>
      </c>
      <c r="I26" s="13">
        <v>632.6336553407989</v>
      </c>
      <c r="J26" s="13">
        <v>602.52134961064871</v>
      </c>
      <c r="K26" s="13">
        <v>551.21528022914799</v>
      </c>
      <c r="L26" s="13">
        <v>623.96703249315317</v>
      </c>
      <c r="M26" s="13">
        <v>590.98062386991046</v>
      </c>
      <c r="N26" s="13">
        <v>522.60659194841787</v>
      </c>
      <c r="O26" s="13">
        <v>464.63308038492619</v>
      </c>
      <c r="P26" s="13">
        <v>491.61167479327321</v>
      </c>
      <c r="Q26" s="13">
        <v>431.43262033744958</v>
      </c>
      <c r="R26" s="40">
        <f t="shared" ref="R26:R29" si="5">+(Q26+S26)/2</f>
        <v>402.78945499092242</v>
      </c>
      <c r="S26" s="14">
        <v>374.14628964439527</v>
      </c>
      <c r="T26" s="13">
        <v>417.18384356533915</v>
      </c>
      <c r="U26" s="13">
        <v>405.55191352119402</v>
      </c>
      <c r="V26" s="13">
        <v>410.83469477235712</v>
      </c>
      <c r="W26" s="13">
        <v>383.29806447887245</v>
      </c>
      <c r="X26" s="13">
        <v>413.00581720991039</v>
      </c>
      <c r="Y26" s="13">
        <v>497.98907689358498</v>
      </c>
      <c r="Z26" s="13">
        <v>470.84133574272551</v>
      </c>
      <c r="AA26" s="13">
        <v>480.47088647840746</v>
      </c>
      <c r="AB26" s="13">
        <v>457.13271868236404</v>
      </c>
      <c r="AC26" s="13">
        <v>426.20736286016125</v>
      </c>
      <c r="AD26" s="13">
        <v>412.03306466057649</v>
      </c>
      <c r="AE26" s="13">
        <v>403.81972622468589</v>
      </c>
      <c r="AF26" s="13">
        <v>394.14082101007511</v>
      </c>
      <c r="AG26" s="13">
        <v>387.0151213829073</v>
      </c>
      <c r="AH26" s="13">
        <v>390.78856194420689</v>
      </c>
      <c r="AI26" s="13">
        <v>379.87448496757787</v>
      </c>
      <c r="AJ26" s="13">
        <v>381.83622715733941</v>
      </c>
      <c r="AK26" s="13">
        <v>390.60965398220026</v>
      </c>
      <c r="AL26" s="13">
        <v>427.0641233533413</v>
      </c>
      <c r="AM26" s="13">
        <v>402.55008134043567</v>
      </c>
      <c r="AN26" s="13">
        <v>452.82080553209198</v>
      </c>
      <c r="AO26" s="13">
        <v>424.50011208953879</v>
      </c>
      <c r="AP26" s="13">
        <v>401.81492873427209</v>
      </c>
      <c r="AQ26" s="13">
        <v>369.55955005910687</v>
      </c>
      <c r="AR26" s="13">
        <v>381.17453130576286</v>
      </c>
      <c r="AS26" s="13">
        <v>379.80155733794993</v>
      </c>
      <c r="AT26" s="13">
        <v>455.96733115619514</v>
      </c>
      <c r="AU26" s="13">
        <v>409.41183155378798</v>
      </c>
      <c r="AV26" s="13">
        <v>395.64161682653292</v>
      </c>
      <c r="AW26" s="13">
        <v>367.78124868569029</v>
      </c>
      <c r="AX26" s="40">
        <f>+(AW26+BA26)/2</f>
        <v>459.88673073637358</v>
      </c>
      <c r="AY26" s="40">
        <f>+(AX26+BA26)/2</f>
        <v>505.93947176171525</v>
      </c>
      <c r="AZ26" s="40">
        <f>+(AY26+BA26)/2</f>
        <v>528.96584227438609</v>
      </c>
      <c r="BA26" s="13">
        <v>551.99221278705693</v>
      </c>
      <c r="BB26" s="13">
        <v>519.88347676389992</v>
      </c>
      <c r="BC26" s="13">
        <v>437.83012080403273</v>
      </c>
      <c r="BD26" s="13">
        <v>555.14308546358552</v>
      </c>
      <c r="BE26" s="13">
        <v>515.42308284494095</v>
      </c>
      <c r="BF26" s="13">
        <v>533.07168100373428</v>
      </c>
      <c r="BG26" s="13">
        <v>434.11331488059989</v>
      </c>
      <c r="BH26" s="13">
        <v>561.25071688108812</v>
      </c>
      <c r="BI26" s="13">
        <v>654.97670440000013</v>
      </c>
      <c r="BJ26" s="13">
        <v>581.34387960000004</v>
      </c>
      <c r="BK26" s="13">
        <v>618.19451100000003</v>
      </c>
      <c r="BL26" s="13">
        <v>705.52599999999995</v>
      </c>
      <c r="BM26" s="13">
        <v>728.41700000000003</v>
      </c>
      <c r="BN26" s="13">
        <v>657.31190947937796</v>
      </c>
      <c r="BO26" s="13">
        <v>604.71400000000006</v>
      </c>
      <c r="BP26" s="13">
        <v>723.40599999999995</v>
      </c>
      <c r="BQ26" s="13">
        <v>831.56500000000005</v>
      </c>
      <c r="BR26" s="13">
        <v>831.82500000000005</v>
      </c>
      <c r="BS26" s="13">
        <v>858.53599999999994</v>
      </c>
      <c r="BT26" s="13">
        <v>665.47900000000004</v>
      </c>
      <c r="BU26" s="13">
        <v>669.15099999999995</v>
      </c>
      <c r="BV26" s="13">
        <v>612.12</v>
      </c>
      <c r="BW26" s="13">
        <v>116.124</v>
      </c>
      <c r="BX26" s="21">
        <v>465.84500000000003</v>
      </c>
      <c r="BY26" s="21">
        <v>422.98</v>
      </c>
      <c r="BZ26" s="21">
        <v>449.84049174114159</v>
      </c>
      <c r="CA26" s="21">
        <v>378.34300000000002</v>
      </c>
      <c r="CB26" s="21">
        <v>436.76</v>
      </c>
      <c r="CC26" s="21">
        <v>421.88900000000001</v>
      </c>
      <c r="CD26" s="21">
        <v>397.548</v>
      </c>
      <c r="CE26" s="21">
        <v>339.964</v>
      </c>
      <c r="CF26" s="21">
        <v>553.41999999999996</v>
      </c>
      <c r="CG26" s="21">
        <v>510.791</v>
      </c>
      <c r="CH26" s="21">
        <v>481.30138606332201</v>
      </c>
      <c r="CI26" s="21">
        <v>470.07600000000002</v>
      </c>
      <c r="CJ26" s="21">
        <v>529.29999999999995</v>
      </c>
    </row>
    <row r="27" spans="1:88" s="4" customFormat="1" ht="20.149999999999999" customHeight="1" x14ac:dyDescent="0.3">
      <c r="A27" s="12" t="s">
        <v>20</v>
      </c>
      <c r="B27" s="13">
        <v>240.2561932043981</v>
      </c>
      <c r="C27" s="13">
        <v>212.32910788465242</v>
      </c>
      <c r="D27" s="13">
        <v>207.6338194783817</v>
      </c>
      <c r="E27" s="13">
        <v>218.60078932280231</v>
      </c>
      <c r="F27" s="13">
        <v>208.97363678198192</v>
      </c>
      <c r="G27" s="13">
        <v>192.16743870214461</v>
      </c>
      <c r="H27" s="13">
        <v>203.39214480136741</v>
      </c>
      <c r="I27" s="13">
        <v>205.75943530079053</v>
      </c>
      <c r="J27" s="13">
        <v>189.6139655365595</v>
      </c>
      <c r="K27" s="13">
        <v>159.76128042534336</v>
      </c>
      <c r="L27" s="13">
        <v>214.31105506859353</v>
      </c>
      <c r="M27" s="13">
        <v>191.16461229525351</v>
      </c>
      <c r="N27" s="13">
        <v>199.6484618152341</v>
      </c>
      <c r="O27" s="13">
        <v>148.91501099146433</v>
      </c>
      <c r="P27" s="13">
        <v>186.9502792176618</v>
      </c>
      <c r="Q27" s="13">
        <v>172.40176396981812</v>
      </c>
      <c r="R27" s="40">
        <f t="shared" si="5"/>
        <v>146.0023292859367</v>
      </c>
      <c r="S27" s="14">
        <v>119.60289460205527</v>
      </c>
      <c r="T27" s="13">
        <v>157.18147485294165</v>
      </c>
      <c r="U27" s="13">
        <v>140.73800274625137</v>
      </c>
      <c r="V27" s="13">
        <v>122.51650508641413</v>
      </c>
      <c r="W27" s="13">
        <v>147.15803191442257</v>
      </c>
      <c r="X27" s="13">
        <v>184.63157135532086</v>
      </c>
      <c r="Y27" s="13">
        <v>198.09851862755141</v>
      </c>
      <c r="Z27" s="13">
        <v>170.01282344142496</v>
      </c>
      <c r="AA27" s="13">
        <v>168.22462482603055</v>
      </c>
      <c r="AB27" s="13">
        <v>148.63113729797362</v>
      </c>
      <c r="AC27" s="13">
        <v>142.94102635077562</v>
      </c>
      <c r="AD27" s="13">
        <v>156.83504589403628</v>
      </c>
      <c r="AE27" s="13">
        <v>145.2266759394862</v>
      </c>
      <c r="AF27" s="13">
        <v>141.25600916456199</v>
      </c>
      <c r="AG27" s="13">
        <v>149.30017743627471</v>
      </c>
      <c r="AH27" s="13">
        <v>166.67468257155844</v>
      </c>
      <c r="AI27" s="13">
        <v>157.36010921365536</v>
      </c>
      <c r="AJ27" s="13">
        <v>165.14134173242769</v>
      </c>
      <c r="AK27" s="13">
        <v>157.09833341395725</v>
      </c>
      <c r="AL27" s="13">
        <v>159.77411086931335</v>
      </c>
      <c r="AM27" s="13">
        <v>133.83026080277895</v>
      </c>
      <c r="AN27" s="13">
        <v>164.35851697451068</v>
      </c>
      <c r="AO27" s="13">
        <v>136.8681075652139</v>
      </c>
      <c r="AP27" s="13">
        <v>133.65689477387912</v>
      </c>
      <c r="AQ27" s="13">
        <v>120.8969907470259</v>
      </c>
      <c r="AR27" s="13">
        <v>142.38557696705476</v>
      </c>
      <c r="AS27" s="13">
        <v>147.09968107810357</v>
      </c>
      <c r="AT27" s="13">
        <v>147.57924880463028</v>
      </c>
      <c r="AU27" s="13">
        <v>159.89929940805072</v>
      </c>
      <c r="AV27" s="13">
        <v>148.47605195297274</v>
      </c>
      <c r="AW27" s="13">
        <v>124.28851546394591</v>
      </c>
      <c r="AX27" s="40">
        <f>+(AW27+BA27)/2</f>
        <v>157.98347928077922</v>
      </c>
      <c r="AY27" s="40">
        <f>+(AX27+BA27)/2</f>
        <v>174.83096118919588</v>
      </c>
      <c r="AZ27" s="40">
        <f>+(AY27+BA27)/2</f>
        <v>183.25470214340419</v>
      </c>
      <c r="BA27" s="13">
        <v>191.67844309761253</v>
      </c>
      <c r="BB27" s="13">
        <v>168.76360682292199</v>
      </c>
      <c r="BC27" s="13">
        <v>140.3091244990373</v>
      </c>
      <c r="BD27" s="13">
        <v>190.95259729576389</v>
      </c>
      <c r="BE27" s="13">
        <v>137.80687731703722</v>
      </c>
      <c r="BF27" s="13">
        <v>153.87083000323321</v>
      </c>
      <c r="BG27" s="13">
        <v>145.58146753618445</v>
      </c>
      <c r="BH27" s="13">
        <v>160.28746651583367</v>
      </c>
      <c r="BI27" s="13">
        <v>174.6167595</v>
      </c>
      <c r="BJ27" s="13">
        <v>180.06753600000005</v>
      </c>
      <c r="BK27" s="13">
        <v>156.59473499999999</v>
      </c>
      <c r="BL27" s="13">
        <v>204.15299999999999</v>
      </c>
      <c r="BM27" s="13">
        <v>221.113</v>
      </c>
      <c r="BN27" s="13">
        <v>177.32223117079451</v>
      </c>
      <c r="BO27" s="13">
        <v>151.51599999999999</v>
      </c>
      <c r="BP27" s="13">
        <v>180.011</v>
      </c>
      <c r="BQ27" s="13">
        <v>226.64400000000001</v>
      </c>
      <c r="BR27" s="13">
        <v>154.845</v>
      </c>
      <c r="BS27" s="13">
        <v>123.351</v>
      </c>
      <c r="BT27" s="13">
        <v>191.65899999999999</v>
      </c>
      <c r="BU27" s="13">
        <v>216.69399999999999</v>
      </c>
      <c r="BV27" s="13">
        <v>152.72200000000001</v>
      </c>
      <c r="BW27" s="13">
        <v>61.305999999999997</v>
      </c>
      <c r="BX27" s="21">
        <v>115.334</v>
      </c>
      <c r="BY27" s="21">
        <v>109.107</v>
      </c>
      <c r="BZ27" s="21">
        <v>120.19812559619925</v>
      </c>
      <c r="CA27" s="21">
        <v>104.673</v>
      </c>
      <c r="CB27" s="21">
        <v>130.90700000000001</v>
      </c>
      <c r="CC27" s="21">
        <v>117.84699999999999</v>
      </c>
      <c r="CD27" s="21">
        <v>105.803</v>
      </c>
      <c r="CE27" s="21">
        <v>129.578</v>
      </c>
      <c r="CF27" s="21">
        <v>138.22499999999999</v>
      </c>
      <c r="CG27" s="21">
        <v>159.41</v>
      </c>
      <c r="CH27" s="21">
        <v>139.28216236024596</v>
      </c>
      <c r="CI27" s="21">
        <v>132.286</v>
      </c>
      <c r="CJ27" s="21">
        <v>191.06299999999999</v>
      </c>
    </row>
    <row r="28" spans="1:88" s="4" customFormat="1" ht="20.149999999999999" customHeight="1" x14ac:dyDescent="0.3">
      <c r="A28" s="12" t="s">
        <v>21</v>
      </c>
      <c r="B28" s="13">
        <v>113.49536916513983</v>
      </c>
      <c r="C28" s="13">
        <v>97.910260636184034</v>
      </c>
      <c r="D28" s="13">
        <v>96.05495004926432</v>
      </c>
      <c r="E28" s="13">
        <v>111.16850773763477</v>
      </c>
      <c r="F28" s="13">
        <v>87.270757854569652</v>
      </c>
      <c r="G28" s="13">
        <v>83.852952658321144</v>
      </c>
      <c r="H28" s="13">
        <v>93.724716807905367</v>
      </c>
      <c r="I28" s="13">
        <v>78.590829584383087</v>
      </c>
      <c r="J28" s="13">
        <v>98.236042926801815</v>
      </c>
      <c r="K28" s="13">
        <v>89.520550815803361</v>
      </c>
      <c r="L28" s="13">
        <v>92.331806222416759</v>
      </c>
      <c r="M28" s="13">
        <v>76.205900652029854</v>
      </c>
      <c r="N28" s="13">
        <v>89.151238084150975</v>
      </c>
      <c r="O28" s="13">
        <v>64.195090418780026</v>
      </c>
      <c r="P28" s="13">
        <v>87.154384241018477</v>
      </c>
      <c r="Q28" s="13">
        <v>72.937494680250595</v>
      </c>
      <c r="R28" s="40">
        <f t="shared" si="5"/>
        <v>73.666426501373252</v>
      </c>
      <c r="S28" s="14">
        <v>74.395358322495895</v>
      </c>
      <c r="T28" s="13">
        <v>75.900984097180057</v>
      </c>
      <c r="U28" s="13">
        <v>70.894862889222452</v>
      </c>
      <c r="V28" s="13">
        <v>74.927644104914506</v>
      </c>
      <c r="W28" s="13">
        <v>69.596660043467494</v>
      </c>
      <c r="X28" s="13">
        <v>93.698496436486835</v>
      </c>
      <c r="Y28" s="13">
        <v>106.32004652550906</v>
      </c>
      <c r="Z28" s="13">
        <v>90.224297572377012</v>
      </c>
      <c r="AA28" s="13">
        <v>90.715350567189859</v>
      </c>
      <c r="AB28" s="13">
        <v>76.56417396211404</v>
      </c>
      <c r="AC28" s="13">
        <v>75.600083556232093</v>
      </c>
      <c r="AD28" s="13">
        <v>87.299389199645915</v>
      </c>
      <c r="AE28" s="13">
        <v>81.018827657687368</v>
      </c>
      <c r="AF28" s="13">
        <v>70.221045251334488</v>
      </c>
      <c r="AG28" s="13">
        <v>75.217573843154298</v>
      </c>
      <c r="AH28" s="13">
        <v>108.25616358173767</v>
      </c>
      <c r="AI28" s="13">
        <v>82.320488062775723</v>
      </c>
      <c r="AJ28" s="13">
        <v>78.199853757232447</v>
      </c>
      <c r="AK28" s="13">
        <v>70.494955716217675</v>
      </c>
      <c r="AL28" s="13">
        <v>95.029872421450648</v>
      </c>
      <c r="AM28" s="13">
        <v>73.471861048222479</v>
      </c>
      <c r="AN28" s="13">
        <v>87.356517253459316</v>
      </c>
      <c r="AO28" s="13">
        <v>83.101258146570018</v>
      </c>
      <c r="AP28" s="13">
        <v>81.08049028923061</v>
      </c>
      <c r="AQ28" s="13">
        <v>60.456164620741646</v>
      </c>
      <c r="AR28" s="13">
        <v>83.222762677695101</v>
      </c>
      <c r="AS28" s="13">
        <v>88.779886010837657</v>
      </c>
      <c r="AT28" s="13">
        <v>89.487295627971761</v>
      </c>
      <c r="AU28" s="13">
        <v>56.208823109255015</v>
      </c>
      <c r="AV28" s="13">
        <v>70.415428306732196</v>
      </c>
      <c r="AW28" s="13">
        <v>57.396406156084403</v>
      </c>
      <c r="AX28" s="40">
        <f>+(AW28+BA28)/2</f>
        <v>78.871767714920495</v>
      </c>
      <c r="AY28" s="40">
        <f>+(AX28+BA28)/2</f>
        <v>89.609448494338537</v>
      </c>
      <c r="AZ28" s="40">
        <f>+(AY28+BA28)/2</f>
        <v>94.978288884047558</v>
      </c>
      <c r="BA28" s="13">
        <v>100.34712927375658</v>
      </c>
      <c r="BB28" s="13">
        <v>68.69097219858601</v>
      </c>
      <c r="BC28" s="13">
        <v>66.693518687722488</v>
      </c>
      <c r="BD28" s="13">
        <v>78.062064400523127</v>
      </c>
      <c r="BE28" s="13">
        <v>107.3486120397357</v>
      </c>
      <c r="BF28" s="13">
        <v>87.415469858085629</v>
      </c>
      <c r="BG28" s="13">
        <v>88.191434603345527</v>
      </c>
      <c r="BH28" s="13">
        <v>100.03084423709676</v>
      </c>
      <c r="BI28" s="13">
        <v>99.884159499999996</v>
      </c>
      <c r="BJ28" s="13">
        <v>77.831344799999997</v>
      </c>
      <c r="BK28" s="13">
        <v>87.447670200000005</v>
      </c>
      <c r="BL28" s="13">
        <v>82.97</v>
      </c>
      <c r="BM28" s="13">
        <v>98.316000000000003</v>
      </c>
      <c r="BN28" s="13">
        <v>101.53422682672539</v>
      </c>
      <c r="BO28" s="13">
        <v>88.287999999999997</v>
      </c>
      <c r="BP28" s="13">
        <v>120.364</v>
      </c>
      <c r="BQ28" s="13">
        <v>94.191000000000003</v>
      </c>
      <c r="BR28" s="13">
        <v>85.373999999999995</v>
      </c>
      <c r="BS28" s="13">
        <v>102.324</v>
      </c>
      <c r="BT28" s="13">
        <v>97.620999999999995</v>
      </c>
      <c r="BU28" s="13">
        <v>79.037000000000006</v>
      </c>
      <c r="BV28" s="13">
        <v>49.533999999999999</v>
      </c>
      <c r="BW28" s="13">
        <v>74.281000000000006</v>
      </c>
      <c r="BX28" s="21">
        <v>63.7</v>
      </c>
      <c r="BY28" s="21">
        <v>69.933000000000007</v>
      </c>
      <c r="BZ28" s="21">
        <v>81.39076747163557</v>
      </c>
      <c r="CA28" s="21">
        <v>64.067999999999998</v>
      </c>
      <c r="CB28" s="21">
        <v>70.22</v>
      </c>
      <c r="CC28" s="21">
        <v>51.118000000000002</v>
      </c>
      <c r="CD28" s="21">
        <v>46.75</v>
      </c>
      <c r="CE28" s="21">
        <v>78.322999999999993</v>
      </c>
      <c r="CF28" s="21">
        <v>113.51300000000001</v>
      </c>
      <c r="CG28" s="21">
        <v>113.31399999999999</v>
      </c>
      <c r="CH28" s="21">
        <v>70.087382904500586</v>
      </c>
      <c r="CI28" s="21">
        <v>91.08</v>
      </c>
      <c r="CJ28" s="21">
        <v>98.951999999999998</v>
      </c>
    </row>
    <row r="29" spans="1:88" ht="20.149999999999999" customHeight="1" x14ac:dyDescent="0.25">
      <c r="A29" s="12" t="s">
        <v>17</v>
      </c>
      <c r="B29" s="21">
        <v>75.288826107774554</v>
      </c>
      <c r="C29" s="21">
        <v>79.914578914401233</v>
      </c>
      <c r="D29" s="21">
        <v>62.066197219365357</v>
      </c>
      <c r="E29" s="21">
        <v>101.52354681979425</v>
      </c>
      <c r="F29" s="21">
        <v>88.035820854694435</v>
      </c>
      <c r="G29" s="21">
        <v>64.145957614206154</v>
      </c>
      <c r="H29" s="21">
        <v>76.537296999450646</v>
      </c>
      <c r="I29" s="21">
        <v>91.604010708946575</v>
      </c>
      <c r="J29" s="21">
        <v>38.96340272221758</v>
      </c>
      <c r="K29" s="21">
        <v>56.802099254741371</v>
      </c>
      <c r="L29" s="21">
        <v>59.693105446430401</v>
      </c>
      <c r="M29" s="21">
        <v>60.670745697060319</v>
      </c>
      <c r="N29" s="21">
        <v>62.476844689997712</v>
      </c>
      <c r="O29" s="21">
        <v>78.418748155652622</v>
      </c>
      <c r="P29" s="21">
        <v>57.680223340088872</v>
      </c>
      <c r="Q29" s="21">
        <v>46.79135154907069</v>
      </c>
      <c r="R29" s="40">
        <f t="shared" si="5"/>
        <v>55.493067935656697</v>
      </c>
      <c r="S29" s="21">
        <v>64.194784322242711</v>
      </c>
      <c r="T29" s="21">
        <v>77.697204320105939</v>
      </c>
      <c r="U29" s="21">
        <v>56.464126496721583</v>
      </c>
      <c r="V29" s="21">
        <v>50.341489365931928</v>
      </c>
      <c r="W29" s="21">
        <v>27.48630722425327</v>
      </c>
      <c r="X29" s="21">
        <v>36.636497353369897</v>
      </c>
      <c r="Y29" s="21">
        <v>51.523523135868416</v>
      </c>
      <c r="Z29" s="21">
        <v>57.32623239734167</v>
      </c>
      <c r="AA29" s="21">
        <v>62.275413085243564</v>
      </c>
      <c r="AB29" s="21">
        <v>39.487294791566903</v>
      </c>
      <c r="AC29" s="21">
        <v>42.811487702906987</v>
      </c>
      <c r="AD29" s="21">
        <v>38.976266615948788</v>
      </c>
      <c r="AE29" s="21">
        <v>54.391292706400279</v>
      </c>
      <c r="AF29" s="21">
        <v>42.086495640114997</v>
      </c>
      <c r="AG29" s="21">
        <v>47.959793472915287</v>
      </c>
      <c r="AH29" s="21">
        <v>42.277154109734632</v>
      </c>
      <c r="AI29" s="21">
        <v>36.451539616273656</v>
      </c>
      <c r="AJ29" s="21">
        <v>49.207023890060903</v>
      </c>
      <c r="AK29" s="21">
        <v>53.753820639976304</v>
      </c>
      <c r="AL29" s="21">
        <v>60.299988899606049</v>
      </c>
      <c r="AM29" s="21">
        <v>60.440835469116692</v>
      </c>
      <c r="AN29" s="21">
        <v>71.031846015929318</v>
      </c>
      <c r="AO29" s="21">
        <v>63.807111952117701</v>
      </c>
      <c r="AP29" s="21">
        <v>60.263363390888173</v>
      </c>
      <c r="AQ29" s="21">
        <v>55.457860560219594</v>
      </c>
      <c r="AR29" s="21">
        <v>70.544006981890348</v>
      </c>
      <c r="AS29" s="21">
        <v>65.105384076128942</v>
      </c>
      <c r="AT29" s="21">
        <v>51.624935417357136</v>
      </c>
      <c r="AU29" s="21">
        <v>53.629931378331861</v>
      </c>
      <c r="AV29" s="21">
        <v>61.431345943972694</v>
      </c>
      <c r="AW29" s="21">
        <v>65.992579713696969</v>
      </c>
      <c r="AX29" s="40">
        <f>+(AW29+BA29)/2</f>
        <v>80.454076695132017</v>
      </c>
      <c r="AY29" s="40">
        <f>+(AX29+BA29)/2</f>
        <v>87.684825185849547</v>
      </c>
      <c r="AZ29" s="40">
        <f>+(AY29+BA29)/2</f>
        <v>91.300199431208313</v>
      </c>
      <c r="BA29" s="21">
        <v>94.915573676567078</v>
      </c>
      <c r="BB29" s="21">
        <v>110.493772185428</v>
      </c>
      <c r="BC29" s="21">
        <v>73.372298706794894</v>
      </c>
      <c r="BD29" s="21">
        <v>93.442800080683242</v>
      </c>
      <c r="BE29" s="21">
        <v>72.424266198286304</v>
      </c>
      <c r="BF29" s="21">
        <v>55.208866334946528</v>
      </c>
      <c r="BG29" s="21">
        <v>58.358636821939641</v>
      </c>
      <c r="BH29" s="21">
        <v>68.231882365981363</v>
      </c>
      <c r="BI29" s="21">
        <v>59.9355452</v>
      </c>
      <c r="BJ29" s="21">
        <v>85.692637800000014</v>
      </c>
      <c r="BK29" s="21">
        <v>58.053401999999998</v>
      </c>
      <c r="BL29" s="21">
        <v>75.171000000000006</v>
      </c>
      <c r="BM29" s="21">
        <v>71.531000000000006</v>
      </c>
      <c r="BN29" s="21">
        <v>75.697591867705626</v>
      </c>
      <c r="BO29" s="21">
        <v>72.180000000000007</v>
      </c>
      <c r="BP29" s="21">
        <v>87.822000000000003</v>
      </c>
      <c r="BQ29" s="21">
        <v>130.52099999999999</v>
      </c>
      <c r="BR29" s="21">
        <v>105.32599999999999</v>
      </c>
      <c r="BS29" s="21">
        <v>84.096000000000004</v>
      </c>
      <c r="BT29" s="21">
        <v>101.086</v>
      </c>
      <c r="BU29" s="21">
        <v>74.103999999999999</v>
      </c>
      <c r="BV29" s="21">
        <v>49.765999999999998</v>
      </c>
      <c r="BW29" s="21">
        <v>651.59199999999998</v>
      </c>
      <c r="BX29" s="21">
        <v>76.02</v>
      </c>
      <c r="BY29" s="21">
        <v>96.768000000000001</v>
      </c>
      <c r="BZ29" s="21">
        <v>99.765615191023571</v>
      </c>
      <c r="CA29" s="21">
        <v>81.882999999999996</v>
      </c>
      <c r="CB29" s="21">
        <v>84.578999999999994</v>
      </c>
      <c r="CC29" s="21">
        <v>62.097000000000001</v>
      </c>
      <c r="CD29" s="21">
        <v>49.588000000000001</v>
      </c>
      <c r="CE29" s="21">
        <v>62.241999999999997</v>
      </c>
      <c r="CF29" s="21">
        <v>61.267000000000003</v>
      </c>
      <c r="CG29" s="21">
        <v>71.11</v>
      </c>
      <c r="CH29" s="21">
        <v>65.185068671931361</v>
      </c>
      <c r="CI29" s="21">
        <v>48.642000000000003</v>
      </c>
      <c r="CJ29" s="21">
        <v>51.222999999999999</v>
      </c>
    </row>
    <row r="30" spans="1:88" s="4" customFormat="1" ht="20.149999999999999" customHeight="1" thickBot="1" x14ac:dyDescent="0.35">
      <c r="A30" s="15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6"/>
      <c r="Z30" s="16"/>
      <c r="AA30" s="16"/>
      <c r="AB30" s="16"/>
      <c r="AC30" s="16"/>
      <c r="AD30" s="16"/>
      <c r="AE30" s="16"/>
      <c r="AF30" s="16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31"/>
      <c r="AY30" s="31"/>
      <c r="AZ30" s="31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</row>
    <row r="31" spans="1:88" s="4" customFormat="1" ht="20.149999999999999" customHeight="1" x14ac:dyDescent="0.3">
      <c r="A31" s="12" t="s">
        <v>23</v>
      </c>
      <c r="B31" s="13">
        <v>47.575140543040398</v>
      </c>
      <c r="C31" s="13">
        <v>27.281459985495193</v>
      </c>
      <c r="D31" s="13">
        <v>34.583788915289126</v>
      </c>
      <c r="E31" s="13">
        <v>32.118845954966886</v>
      </c>
      <c r="F31" s="13">
        <v>25.003426501637261</v>
      </c>
      <c r="G31" s="13">
        <v>13.645719102635276</v>
      </c>
      <c r="H31" s="13">
        <v>25.476381840575183</v>
      </c>
      <c r="I31" s="13">
        <v>27.502539395494249</v>
      </c>
      <c r="J31" s="13">
        <v>34.085699539412389</v>
      </c>
      <c r="K31" s="13">
        <v>19.310442096410704</v>
      </c>
      <c r="L31" s="13">
        <v>18.572695717860107</v>
      </c>
      <c r="M31" s="13">
        <v>18.280788613492177</v>
      </c>
      <c r="N31" s="13">
        <v>19.648851741156964</v>
      </c>
      <c r="O31" s="13">
        <v>19.990303667419916</v>
      </c>
      <c r="P31" s="13">
        <v>14.484759984639044</v>
      </c>
      <c r="Q31" s="13">
        <v>18.902645159161349</v>
      </c>
      <c r="R31" s="40">
        <f t="shared" ref="R31:R34" si="6">+(Q31+S31)/2</f>
        <v>15.617332515495709</v>
      </c>
      <c r="S31" s="14">
        <v>12.33201987183007</v>
      </c>
      <c r="T31" s="13">
        <v>21.457794680588471</v>
      </c>
      <c r="U31" s="13">
        <v>17.039716064262212</v>
      </c>
      <c r="V31" s="13">
        <v>18.169877117558375</v>
      </c>
      <c r="W31" s="13">
        <v>19.563519947598298</v>
      </c>
      <c r="X31" s="13">
        <v>18.928344460642155</v>
      </c>
      <c r="Y31" s="13">
        <v>19.579103585559839</v>
      </c>
      <c r="Z31" s="13">
        <v>22.24333923590374</v>
      </c>
      <c r="AA31" s="13">
        <v>19.551353583299758</v>
      </c>
      <c r="AB31" s="13">
        <v>13.99968559063576</v>
      </c>
      <c r="AC31" s="13">
        <v>10.13401923372718</v>
      </c>
      <c r="AD31" s="13">
        <v>23.096449693696162</v>
      </c>
      <c r="AE31" s="13">
        <v>14.853587496600156</v>
      </c>
      <c r="AF31" s="13">
        <v>18.302360807977539</v>
      </c>
      <c r="AG31" s="13">
        <v>11.204920113429553</v>
      </c>
      <c r="AH31" s="13">
        <v>12.680547792397451</v>
      </c>
      <c r="AI31" s="13">
        <v>14.344047338485716</v>
      </c>
      <c r="AJ31" s="13">
        <v>10.612496652527934</v>
      </c>
      <c r="AK31" s="13">
        <v>16.806955489727184</v>
      </c>
      <c r="AL31" s="13">
        <v>8.955736605294879</v>
      </c>
      <c r="AM31" s="13">
        <v>18.173984212141555</v>
      </c>
      <c r="AN31" s="13">
        <v>21.775646532668652</v>
      </c>
      <c r="AO31" s="13">
        <v>17.553041696582298</v>
      </c>
      <c r="AP31" s="13">
        <v>0.9970320840995498</v>
      </c>
      <c r="AQ31" s="13">
        <v>14.46742073701996</v>
      </c>
      <c r="AR31" s="13">
        <v>9.5452284803896923</v>
      </c>
      <c r="AS31" s="13">
        <v>22.1632065880863</v>
      </c>
      <c r="AT31" s="13">
        <v>15.393912773415583</v>
      </c>
      <c r="AU31" s="13">
        <v>14.808407733052849</v>
      </c>
      <c r="AV31" s="13">
        <v>17.112005502463749</v>
      </c>
      <c r="AW31" s="13">
        <v>13.569534524961705</v>
      </c>
      <c r="AX31" s="40">
        <f>+(AW31+BA31)/2</f>
        <v>15.579950950668479</v>
      </c>
      <c r="AY31" s="40">
        <f>+(AX31+BA31)/2</f>
        <v>16.585159163521865</v>
      </c>
      <c r="AZ31" s="40">
        <f>+(AY31+BA31)/2</f>
        <v>17.08776326994856</v>
      </c>
      <c r="BA31" s="13">
        <v>17.590367376375251</v>
      </c>
      <c r="BB31" s="13">
        <v>26.718592922181561</v>
      </c>
      <c r="BC31" s="13">
        <v>22.571987462151768</v>
      </c>
      <c r="BD31" s="13">
        <v>24.08450204780851</v>
      </c>
      <c r="BE31" s="13">
        <v>25.351023384702899</v>
      </c>
      <c r="BF31" s="13">
        <v>17.04414454330119</v>
      </c>
      <c r="BG31" s="13">
        <v>26.7295958515652</v>
      </c>
      <c r="BH31" s="13">
        <v>18.119037106104109</v>
      </c>
      <c r="BI31" s="13">
        <v>31.80971833147434</v>
      </c>
      <c r="BJ31" s="13">
        <v>23.171009123381687</v>
      </c>
      <c r="BK31" s="13">
        <v>16.985112657933207</v>
      </c>
      <c r="BL31" s="13">
        <v>27.744432373926543</v>
      </c>
      <c r="BM31" s="13">
        <v>37.550014397470711</v>
      </c>
      <c r="BN31" s="13">
        <v>32.990989461192186</v>
      </c>
      <c r="BO31" s="13">
        <v>16.152999999999999</v>
      </c>
      <c r="BP31" s="13">
        <v>18.732528782992514</v>
      </c>
      <c r="BQ31" s="13">
        <v>22.682744355623868</v>
      </c>
      <c r="BR31" s="13">
        <v>36.433162883361504</v>
      </c>
      <c r="BS31" s="13">
        <v>27.990883146001728</v>
      </c>
      <c r="BT31" s="13">
        <v>34.650141363356781</v>
      </c>
      <c r="BU31" s="13">
        <v>26.219990749268572</v>
      </c>
      <c r="BV31" s="13">
        <v>15.470884100692551</v>
      </c>
      <c r="BW31" s="13">
        <v>74.763999999999996</v>
      </c>
      <c r="BX31" s="21">
        <v>24.756</v>
      </c>
      <c r="BY31" s="21">
        <v>16.218311121009176</v>
      </c>
      <c r="BZ31" s="21">
        <v>6.9129483493618888</v>
      </c>
      <c r="CA31" s="21">
        <v>18.491979860570719</v>
      </c>
      <c r="CB31" s="21">
        <v>19.158065135330382</v>
      </c>
      <c r="CC31" s="21">
        <v>17.3497198972427</v>
      </c>
      <c r="CD31" s="21">
        <v>16.897256690166778</v>
      </c>
      <c r="CE31" s="21">
        <v>15.445823348651196</v>
      </c>
      <c r="CF31" s="21">
        <v>18.029</v>
      </c>
      <c r="CG31" s="21">
        <v>8.9852536089184678</v>
      </c>
      <c r="CH31" s="21">
        <v>23.798905450524124</v>
      </c>
      <c r="CI31" s="21">
        <v>28.788592558021474</v>
      </c>
      <c r="CJ31" s="21">
        <v>18.868862372015524</v>
      </c>
    </row>
    <row r="32" spans="1:88" s="4" customFormat="1" ht="20.149999999999999" customHeight="1" x14ac:dyDescent="0.3">
      <c r="A32" s="12" t="s">
        <v>24</v>
      </c>
      <c r="B32" s="13">
        <v>126.40181489612017</v>
      </c>
      <c r="C32" s="13">
        <v>96.201323570722792</v>
      </c>
      <c r="D32" s="13">
        <v>94.794950136458013</v>
      </c>
      <c r="E32" s="13">
        <v>103.3263581141542</v>
      </c>
      <c r="F32" s="13">
        <v>83.007675280368744</v>
      </c>
      <c r="G32" s="13">
        <v>83.99561763041703</v>
      </c>
      <c r="H32" s="13">
        <v>86.665631206541335</v>
      </c>
      <c r="I32" s="13">
        <v>85.828161636512263</v>
      </c>
      <c r="J32" s="13">
        <v>56.706822626460223</v>
      </c>
      <c r="K32" s="13">
        <v>61.265954034115651</v>
      </c>
      <c r="L32" s="13">
        <v>86.342074533023819</v>
      </c>
      <c r="M32" s="13">
        <v>95.156918178602083</v>
      </c>
      <c r="N32" s="13">
        <v>58.023712871635738</v>
      </c>
      <c r="O32" s="13">
        <v>52.345273252073845</v>
      </c>
      <c r="P32" s="13">
        <v>69.922220475050352</v>
      </c>
      <c r="Q32" s="13">
        <v>45.821419596161185</v>
      </c>
      <c r="R32" s="40">
        <f t="shared" si="6"/>
        <v>48.532450064141784</v>
      </c>
      <c r="S32" s="14">
        <v>51.243480532122376</v>
      </c>
      <c r="T32" s="13">
        <v>77.404712632082521</v>
      </c>
      <c r="U32" s="13">
        <v>55.214241032995069</v>
      </c>
      <c r="V32" s="13">
        <v>49.575990618166358</v>
      </c>
      <c r="W32" s="13">
        <v>44.54578809030626</v>
      </c>
      <c r="X32" s="13">
        <v>65.987310450149664</v>
      </c>
      <c r="Y32" s="13">
        <v>76.935738549450704</v>
      </c>
      <c r="Z32" s="13">
        <v>61.091565714392118</v>
      </c>
      <c r="AA32" s="13">
        <v>81.498908914643934</v>
      </c>
      <c r="AB32" s="13">
        <v>68.566578368199686</v>
      </c>
      <c r="AC32" s="13">
        <v>57.908404816238381</v>
      </c>
      <c r="AD32" s="13">
        <v>56.31039347738718</v>
      </c>
      <c r="AE32" s="13">
        <v>68.656535876277587</v>
      </c>
      <c r="AF32" s="13">
        <v>55.635377058160103</v>
      </c>
      <c r="AG32" s="13">
        <v>54.897733765368294</v>
      </c>
      <c r="AH32" s="13">
        <v>78.569749796221856</v>
      </c>
      <c r="AI32" s="13">
        <v>56.254557349063433</v>
      </c>
      <c r="AJ32" s="13">
        <v>55.351675337381629</v>
      </c>
      <c r="AK32" s="13">
        <v>63.931344200897712</v>
      </c>
      <c r="AL32" s="13">
        <v>67.182990332125641</v>
      </c>
      <c r="AM32" s="13">
        <v>57.007363305718442</v>
      </c>
      <c r="AN32" s="13">
        <v>103.81167864134704</v>
      </c>
      <c r="AO32" s="13">
        <v>68.54468539670215</v>
      </c>
      <c r="AP32" s="13">
        <v>20.576557905241771</v>
      </c>
      <c r="AQ32" s="13">
        <v>52.760827056852243</v>
      </c>
      <c r="AR32" s="13">
        <v>68.485838826047242</v>
      </c>
      <c r="AS32" s="13">
        <v>59.174316364213958</v>
      </c>
      <c r="AT32" s="13">
        <v>62.274689606763211</v>
      </c>
      <c r="AU32" s="13">
        <v>53.788611585704722</v>
      </c>
      <c r="AV32" s="13">
        <v>68.132250399148973</v>
      </c>
      <c r="AW32" s="13">
        <v>66.655506623065264</v>
      </c>
      <c r="AX32" s="40">
        <f>+(AW32+BA32)/2</f>
        <v>83.222288975392843</v>
      </c>
      <c r="AY32" s="40">
        <f>+(AX32+BA32)/2</f>
        <v>91.505680151556632</v>
      </c>
      <c r="AZ32" s="40">
        <f>+(AY32+BA32)/2</f>
        <v>95.647375739638534</v>
      </c>
      <c r="BA32" s="13">
        <v>99.789071327720421</v>
      </c>
      <c r="BB32" s="13">
        <v>68.13910206906138</v>
      </c>
      <c r="BC32" s="13">
        <v>67.540819974604787</v>
      </c>
      <c r="BD32" s="13">
        <v>89.19912557898958</v>
      </c>
      <c r="BE32" s="13">
        <v>69.38425262076052</v>
      </c>
      <c r="BF32" s="13">
        <v>70.120351523915616</v>
      </c>
      <c r="BG32" s="13">
        <v>47.329746307993602</v>
      </c>
      <c r="BH32" s="13">
        <v>83.547426449903881</v>
      </c>
      <c r="BI32" s="13">
        <v>89.297099767484411</v>
      </c>
      <c r="BJ32" s="13">
        <v>70.18960501254297</v>
      </c>
      <c r="BK32" s="13">
        <v>68.205874918970622</v>
      </c>
      <c r="BL32" s="13">
        <v>101.07262446416109</v>
      </c>
      <c r="BM32" s="13">
        <v>99.959949180098988</v>
      </c>
      <c r="BN32" s="13">
        <v>76.600586349749179</v>
      </c>
      <c r="BO32" s="13">
        <v>97.841999999999999</v>
      </c>
      <c r="BP32" s="13">
        <v>121.14074732977608</v>
      </c>
      <c r="BQ32" s="13">
        <v>111.91967885832084</v>
      </c>
      <c r="BR32" s="13">
        <v>82.328213998229103</v>
      </c>
      <c r="BS32" s="13">
        <v>104.31495446010844</v>
      </c>
      <c r="BT32" s="13">
        <v>115.32998695140999</v>
      </c>
      <c r="BU32" s="13">
        <v>92.466269472102056</v>
      </c>
      <c r="BV32" s="13">
        <v>62.688054556732361</v>
      </c>
      <c r="BW32" s="13">
        <v>290.45299999999997</v>
      </c>
      <c r="BX32" s="21">
        <v>63.512999999999998</v>
      </c>
      <c r="BY32" s="21">
        <v>71.882416764884098</v>
      </c>
      <c r="BZ32" s="21">
        <v>53.448280837139883</v>
      </c>
      <c r="CA32" s="21">
        <v>53.185842522408272</v>
      </c>
      <c r="CB32" s="21">
        <v>81.507919204359737</v>
      </c>
      <c r="CC32" s="21">
        <v>63.051494496461579</v>
      </c>
      <c r="CD32" s="21">
        <v>30.791270418650114</v>
      </c>
      <c r="CE32" s="21">
        <v>40.555864241237366</v>
      </c>
      <c r="CF32" s="21">
        <v>77.768000000000001</v>
      </c>
      <c r="CG32" s="21">
        <v>69.841300006603475</v>
      </c>
      <c r="CH32" s="21">
        <v>67.42856369716516</v>
      </c>
      <c r="CI32" s="21">
        <v>69.40027566461832</v>
      </c>
      <c r="CJ32" s="21">
        <v>90.42900532664838</v>
      </c>
    </row>
    <row r="33" spans="1:88" s="4" customFormat="1" ht="20.149999999999999" customHeight="1" x14ac:dyDescent="0.3">
      <c r="A33" s="12" t="s">
        <v>25</v>
      </c>
      <c r="B33" s="13">
        <v>592.23681895021309</v>
      </c>
      <c r="C33" s="13">
        <v>553.3293894936171</v>
      </c>
      <c r="D33" s="13">
        <v>541.59942069545605</v>
      </c>
      <c r="E33" s="13">
        <v>609.0493983300197</v>
      </c>
      <c r="F33" s="13">
        <v>558.26642035567647</v>
      </c>
      <c r="G33" s="13">
        <v>466.85857778455835</v>
      </c>
      <c r="H33" s="13">
        <v>508.96885428964617</v>
      </c>
      <c r="I33" s="13">
        <v>502.09955943979503</v>
      </c>
      <c r="J33" s="13">
        <v>421.64979401838258</v>
      </c>
      <c r="K33" s="13">
        <v>374.96230406735162</v>
      </c>
      <c r="L33" s="13">
        <v>477.77016485588217</v>
      </c>
      <c r="M33" s="13">
        <v>445.46721469698991</v>
      </c>
      <c r="N33" s="13">
        <v>428.58134512102515</v>
      </c>
      <c r="O33" s="13">
        <v>355.78299590187243</v>
      </c>
      <c r="P33" s="13">
        <v>384.49534012775263</v>
      </c>
      <c r="Q33" s="13">
        <v>345.58254473424347</v>
      </c>
      <c r="R33" s="40">
        <f t="shared" si="6"/>
        <v>316.92129943827905</v>
      </c>
      <c r="S33" s="14">
        <v>288.26005414231463</v>
      </c>
      <c r="T33" s="13">
        <v>335.19981891816815</v>
      </c>
      <c r="U33" s="13">
        <v>323.65238123595441</v>
      </c>
      <c r="V33" s="13">
        <v>311.07373863806197</v>
      </c>
      <c r="W33" s="13">
        <v>306.86579698829462</v>
      </c>
      <c r="X33" s="13">
        <v>367.49353226995271</v>
      </c>
      <c r="Y33" s="13">
        <v>388.07383056391177</v>
      </c>
      <c r="Z33" s="13">
        <v>385.75599067464123</v>
      </c>
      <c r="AA33" s="13">
        <v>358.68722484142495</v>
      </c>
      <c r="AB33" s="13">
        <v>342.1141704672882</v>
      </c>
      <c r="AC33" s="13">
        <v>312.98063336420262</v>
      </c>
      <c r="AD33" s="13">
        <v>277.78504520006805</v>
      </c>
      <c r="AE33" s="13">
        <v>313.95911869085796</v>
      </c>
      <c r="AF33" s="13">
        <v>314.54747793343341</v>
      </c>
      <c r="AG33" s="13">
        <v>330.36517810846379</v>
      </c>
      <c r="AH33" s="13">
        <v>325.04919038898487</v>
      </c>
      <c r="AI33" s="13">
        <v>314.58826073697122</v>
      </c>
      <c r="AJ33" s="13">
        <v>350.28759701382506</v>
      </c>
      <c r="AK33" s="13">
        <v>296.92253466707626</v>
      </c>
      <c r="AL33" s="13">
        <v>343.65071815327371</v>
      </c>
      <c r="AM33" s="13">
        <v>331.03086528018849</v>
      </c>
      <c r="AN33" s="13">
        <v>333.65610526243188</v>
      </c>
      <c r="AO33" s="13">
        <v>301.32739025056668</v>
      </c>
      <c r="AP33" s="13">
        <v>95.144340859337262</v>
      </c>
      <c r="AQ33" s="13">
        <v>305.8041469594105</v>
      </c>
      <c r="AR33" s="13">
        <v>337.37036614250331</v>
      </c>
      <c r="AS33" s="13">
        <v>351.96172445251995</v>
      </c>
      <c r="AT33" s="13">
        <v>351.87148097239913</v>
      </c>
      <c r="AU33" s="13">
        <v>336.7231238659478</v>
      </c>
      <c r="AV33" s="13">
        <v>310.47388826907837</v>
      </c>
      <c r="AW33" s="13">
        <v>296.94800346322688</v>
      </c>
      <c r="AX33" s="40">
        <f>+(AW33+BA33)/2</f>
        <v>377.13141198887041</v>
      </c>
      <c r="AY33" s="40">
        <f>+(AX33+BA33)/2</f>
        <v>417.2231162516922</v>
      </c>
      <c r="AZ33" s="40">
        <f>+(AY33+BA33)/2</f>
        <v>437.26896838310307</v>
      </c>
      <c r="BA33" s="13">
        <v>457.31482051451394</v>
      </c>
      <c r="BB33" s="13">
        <v>423.04217491857509</v>
      </c>
      <c r="BC33" s="13">
        <v>338.25702039415665</v>
      </c>
      <c r="BD33" s="13">
        <v>440.88663435634749</v>
      </c>
      <c r="BE33" s="13">
        <v>398.52233977598871</v>
      </c>
      <c r="BF33" s="13">
        <v>403.22204289280063</v>
      </c>
      <c r="BG33" s="13">
        <v>339.80959659532527</v>
      </c>
      <c r="BH33" s="13">
        <v>412.81588722002829</v>
      </c>
      <c r="BI33" s="13">
        <v>434.10430614029434</v>
      </c>
      <c r="BJ33" s="13">
        <v>489.58558019725035</v>
      </c>
      <c r="BK33" s="13">
        <v>456.12857503024173</v>
      </c>
      <c r="BL33" s="13">
        <v>510.36231095033963</v>
      </c>
      <c r="BM33" s="13">
        <v>533.20576805335998</v>
      </c>
      <c r="BN33" s="13">
        <v>473.02137974134615</v>
      </c>
      <c r="BO33" s="13">
        <v>448.685</v>
      </c>
      <c r="BP33" s="13">
        <v>565.71016895625758</v>
      </c>
      <c r="BQ33" s="13">
        <v>621.96966588768225</v>
      </c>
      <c r="BR33" s="13">
        <v>579.0788913708443</v>
      </c>
      <c r="BS33" s="13">
        <v>568.80411445969571</v>
      </c>
      <c r="BT33" s="13">
        <v>476.6321537146485</v>
      </c>
      <c r="BU33" s="13">
        <v>534.27180551576805</v>
      </c>
      <c r="BV33" s="13">
        <v>403.33813695508724</v>
      </c>
      <c r="BW33" s="13">
        <v>271.80099999999999</v>
      </c>
      <c r="BX33" s="21">
        <v>351.46300000000002</v>
      </c>
      <c r="BY33" s="21">
        <v>351.01946909079345</v>
      </c>
      <c r="BZ33" s="21">
        <v>400.03389850260487</v>
      </c>
      <c r="CA33" s="21">
        <v>320.9308181062724</v>
      </c>
      <c r="CB33" s="21">
        <v>323.39166625472552</v>
      </c>
      <c r="CC33" s="21">
        <v>314.58029768580974</v>
      </c>
      <c r="CD33" s="21">
        <v>336.73761332108114</v>
      </c>
      <c r="CE33" s="21">
        <v>321.00857613385494</v>
      </c>
      <c r="CF33" s="21">
        <v>506.41699999999997</v>
      </c>
      <c r="CG33" s="21">
        <v>465.14207043198542</v>
      </c>
      <c r="CH33" s="21">
        <v>382.69448810897075</v>
      </c>
      <c r="CI33" s="21">
        <v>382.71369422848869</v>
      </c>
      <c r="CJ33" s="21">
        <v>423.86233995171023</v>
      </c>
    </row>
    <row r="34" spans="1:88" ht="20.149999999999999" customHeight="1" x14ac:dyDescent="0.25">
      <c r="A34" s="12" t="s">
        <v>26</v>
      </c>
      <c r="B34" s="21">
        <v>519.04311179052286</v>
      </c>
      <c r="C34" s="21">
        <v>475.47191501384873</v>
      </c>
      <c r="D34" s="21">
        <v>456.57724051095357</v>
      </c>
      <c r="E34" s="21">
        <v>486.61227574428392</v>
      </c>
      <c r="F34" s="21">
        <v>468.47806366924027</v>
      </c>
      <c r="G34" s="21">
        <v>425.66968842571526</v>
      </c>
      <c r="H34" s="21">
        <v>437.15145882904864</v>
      </c>
      <c r="I34" s="21">
        <v>393.15767046311748</v>
      </c>
      <c r="J34" s="21">
        <v>416.89244461197245</v>
      </c>
      <c r="K34" s="21">
        <v>401.76051052715809</v>
      </c>
      <c r="L34" s="21">
        <v>407.61806412382771</v>
      </c>
      <c r="M34" s="21">
        <v>360.1169610251701</v>
      </c>
      <c r="N34" s="21">
        <v>367.62922680398265</v>
      </c>
      <c r="O34" s="21">
        <v>328.04335712945709</v>
      </c>
      <c r="P34" s="21">
        <v>354.49424100460038</v>
      </c>
      <c r="Q34" s="21">
        <v>313.25662104702297</v>
      </c>
      <c r="R34" s="40">
        <f t="shared" si="6"/>
        <v>296.88019669597259</v>
      </c>
      <c r="S34" s="21">
        <v>280.50377234492214</v>
      </c>
      <c r="T34" s="21">
        <v>293.90118060472747</v>
      </c>
      <c r="U34" s="21">
        <v>277.74256732017778</v>
      </c>
      <c r="V34" s="21">
        <v>279.80072695583101</v>
      </c>
      <c r="W34" s="21">
        <v>256.56395863481669</v>
      </c>
      <c r="X34" s="21">
        <v>275.56319517434343</v>
      </c>
      <c r="Y34" s="21">
        <v>369.3424924835918</v>
      </c>
      <c r="Z34" s="21">
        <v>319.31379352893208</v>
      </c>
      <c r="AA34" s="21">
        <v>341.94878761750277</v>
      </c>
      <c r="AB34" s="21">
        <v>297.13489030789503</v>
      </c>
      <c r="AC34" s="21">
        <v>306.53690305590777</v>
      </c>
      <c r="AD34" s="21">
        <v>337.95187799905602</v>
      </c>
      <c r="AE34" s="21">
        <v>286.98728046452396</v>
      </c>
      <c r="AF34" s="21">
        <v>259.21915526651549</v>
      </c>
      <c r="AG34" s="21">
        <v>263.02483414798991</v>
      </c>
      <c r="AH34" s="21">
        <v>291.69707422963342</v>
      </c>
      <c r="AI34" s="21">
        <v>270.8197564357622</v>
      </c>
      <c r="AJ34" s="21">
        <v>258.1326775333257</v>
      </c>
      <c r="AK34" s="21">
        <v>294.29592939465039</v>
      </c>
      <c r="AL34" s="21">
        <v>322.37865045301709</v>
      </c>
      <c r="AM34" s="21">
        <v>264.08082586250521</v>
      </c>
      <c r="AN34" s="21">
        <v>316.32425533954375</v>
      </c>
      <c r="AO34" s="21">
        <v>320.85147240958941</v>
      </c>
      <c r="AP34" s="21">
        <v>560.09774633959148</v>
      </c>
      <c r="AQ34" s="21">
        <v>233.33817123381127</v>
      </c>
      <c r="AR34" s="21">
        <v>261.92544448346268</v>
      </c>
      <c r="AS34" s="21">
        <v>247.48726109819992</v>
      </c>
      <c r="AT34" s="21">
        <v>315.1187276535764</v>
      </c>
      <c r="AU34" s="21">
        <v>273.82974226472021</v>
      </c>
      <c r="AV34" s="21">
        <v>280.24629885951941</v>
      </c>
      <c r="AW34" s="21">
        <v>238.28570540816378</v>
      </c>
      <c r="AX34" s="40">
        <f>+(AW34+BA34)/2</f>
        <v>301.26240251227364</v>
      </c>
      <c r="AY34" s="40">
        <f>+(AX34+BA34)/2</f>
        <v>332.7507510643286</v>
      </c>
      <c r="AZ34" s="40">
        <f>+(AY34+BA34)/2</f>
        <v>348.49492534035608</v>
      </c>
      <c r="BA34" s="21">
        <v>364.2390996163835</v>
      </c>
      <c r="BB34" s="21">
        <v>349.93195806101801</v>
      </c>
      <c r="BC34" s="21">
        <v>289.83523486667423</v>
      </c>
      <c r="BD34" s="21">
        <v>363.43028525741028</v>
      </c>
      <c r="BE34" s="21">
        <v>339.7452226185481</v>
      </c>
      <c r="BF34" s="21">
        <v>339.18030823998231</v>
      </c>
      <c r="BG34" s="21">
        <v>312.37591508718543</v>
      </c>
      <c r="BH34" s="21">
        <v>375.31855922396346</v>
      </c>
      <c r="BI34" s="21">
        <v>434.20204436074692</v>
      </c>
      <c r="BJ34" s="21">
        <v>341.98920386682522</v>
      </c>
      <c r="BK34" s="21">
        <v>378.9707555928544</v>
      </c>
      <c r="BL34" s="21">
        <v>428.64063221157267</v>
      </c>
      <c r="BM34" s="21">
        <v>448.66126836907029</v>
      </c>
      <c r="BN34" s="21">
        <v>429.25300379231606</v>
      </c>
      <c r="BO34" s="21">
        <v>346.70299999999997</v>
      </c>
      <c r="BP34" s="21">
        <v>406.01955493097387</v>
      </c>
      <c r="BQ34" s="21">
        <v>526.34891089837311</v>
      </c>
      <c r="BR34" s="21">
        <v>479.52973174756499</v>
      </c>
      <c r="BS34" s="21">
        <v>467.19704793419407</v>
      </c>
      <c r="BT34" s="21">
        <v>429.35571797058469</v>
      </c>
      <c r="BU34" s="21">
        <v>386.02793426286138</v>
      </c>
      <c r="BV34" s="21">
        <v>382.64492438748778</v>
      </c>
      <c r="BW34" s="21">
        <v>1.7150000000000001</v>
      </c>
      <c r="BX34" s="21">
        <v>276.53399999999999</v>
      </c>
      <c r="BY34" s="21">
        <v>259.6678030233133</v>
      </c>
      <c r="BZ34" s="21">
        <v>290.79987231089336</v>
      </c>
      <c r="CA34" s="21">
        <v>236.35835951074858</v>
      </c>
      <c r="CB34" s="21">
        <v>298.40834940558432</v>
      </c>
      <c r="CC34" s="21">
        <v>257.96948792048602</v>
      </c>
      <c r="CD34" s="21">
        <v>215.26285957010197</v>
      </c>
      <c r="CE34" s="21">
        <v>233.09673627625654</v>
      </c>
      <c r="CF34" s="21">
        <v>262.76</v>
      </c>
      <c r="CG34" s="21">
        <v>310.65637595249268</v>
      </c>
      <c r="CH34" s="21">
        <v>281.93404274333994</v>
      </c>
      <c r="CI34" s="21">
        <v>261.18143754887149</v>
      </c>
      <c r="CJ34" s="21">
        <v>337.37779234962585</v>
      </c>
    </row>
    <row r="35" spans="1:88" s="4" customFormat="1" ht="20.149999999999999" customHeight="1" thickBot="1" x14ac:dyDescent="0.35">
      <c r="A35" s="15" t="s">
        <v>34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16"/>
      <c r="AA35" s="16"/>
      <c r="AB35" s="16"/>
      <c r="AC35" s="16"/>
      <c r="AD35" s="16"/>
      <c r="AE35" s="16"/>
      <c r="AF35" s="16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31"/>
      <c r="AY35" s="31"/>
      <c r="AZ35" s="31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</row>
    <row r="36" spans="1:88" s="4" customFormat="1" ht="20.149999999999999" customHeight="1" x14ac:dyDescent="0.3">
      <c r="A36" s="12" t="s">
        <v>40</v>
      </c>
      <c r="B36" s="13">
        <v>536.21103272086111</v>
      </c>
      <c r="C36" s="13">
        <v>541.86307772701821</v>
      </c>
      <c r="D36" s="13">
        <v>467.19667920828812</v>
      </c>
      <c r="E36" s="13">
        <v>551.17683720131902</v>
      </c>
      <c r="F36" s="13">
        <v>489.18063936969941</v>
      </c>
      <c r="G36" s="13">
        <v>453.34354701607231</v>
      </c>
      <c r="H36" s="13">
        <v>438.26641000228415</v>
      </c>
      <c r="I36" s="13">
        <v>429.70157367837504</v>
      </c>
      <c r="J36" s="13">
        <v>406.16038168145423</v>
      </c>
      <c r="K36" s="13">
        <v>388.87850979829381</v>
      </c>
      <c r="L36" s="13">
        <v>429.24861595141107</v>
      </c>
      <c r="M36" s="13">
        <v>403.50709715085429</v>
      </c>
      <c r="N36" s="13">
        <v>367.4285965366044</v>
      </c>
      <c r="O36" s="13">
        <v>341.70964704560947</v>
      </c>
      <c r="P36" s="13">
        <v>342.14678084436332</v>
      </c>
      <c r="Q36" s="13">
        <v>310.27033215854834</v>
      </c>
      <c r="R36" s="40">
        <f t="shared" ref="R36:R40" si="7">+(Q36+S36)/2</f>
        <v>298.69621249227419</v>
      </c>
      <c r="S36" s="14">
        <v>287.12209282599997</v>
      </c>
      <c r="T36" s="13">
        <v>306.36743035570186</v>
      </c>
      <c r="U36" s="13">
        <v>347.72440475397445</v>
      </c>
      <c r="V36" s="13">
        <v>316.79670232231291</v>
      </c>
      <c r="W36" s="13">
        <v>301.99206795400841</v>
      </c>
      <c r="X36" s="13">
        <v>316.44164228232103</v>
      </c>
      <c r="Y36" s="13">
        <v>363.39267149966344</v>
      </c>
      <c r="Z36" s="13">
        <v>352.76763011665338</v>
      </c>
      <c r="AA36" s="13">
        <v>344.57669291096494</v>
      </c>
      <c r="AB36" s="13">
        <v>307.04714850195415</v>
      </c>
      <c r="AC36" s="13">
        <v>272.09044545300259</v>
      </c>
      <c r="AD36" s="13">
        <v>311.18503124235673</v>
      </c>
      <c r="AE36" s="13">
        <v>298.34958855349009</v>
      </c>
      <c r="AF36" s="13">
        <v>271.35065056957598</v>
      </c>
      <c r="AG36" s="13">
        <v>296.83852283776275</v>
      </c>
      <c r="AH36" s="13">
        <v>312.23439858126926</v>
      </c>
      <c r="AI36" s="13">
        <v>309.98534599158296</v>
      </c>
      <c r="AJ36" s="13">
        <v>324.97808920278527</v>
      </c>
      <c r="AK36" s="13">
        <v>293.27591560805411</v>
      </c>
      <c r="AL36" s="13">
        <v>362.43086269766621</v>
      </c>
      <c r="AM36" s="13">
        <v>292.04294507960515</v>
      </c>
      <c r="AN36" s="13">
        <v>358.69660282208423</v>
      </c>
      <c r="AO36" s="13">
        <v>322.53298495597784</v>
      </c>
      <c r="AP36" s="13">
        <v>260.18931622206367</v>
      </c>
      <c r="AQ36" s="13">
        <v>279.44384998921583</v>
      </c>
      <c r="AR36" s="13">
        <v>306.92969287873677</v>
      </c>
      <c r="AS36" s="13">
        <v>314.36268700169717</v>
      </c>
      <c r="AT36" s="13">
        <v>378.75785158403107</v>
      </c>
      <c r="AU36" s="13">
        <v>313.91672264689299</v>
      </c>
      <c r="AV36" s="13">
        <v>318.76442890121854</v>
      </c>
      <c r="AW36" s="13">
        <v>273.87216413102055</v>
      </c>
      <c r="AX36" s="40">
        <f>+(AW36+BA36)/2</f>
        <v>373.0557866949062</v>
      </c>
      <c r="AY36" s="40">
        <f>+(AX36+BA36)/2</f>
        <v>422.64759797684906</v>
      </c>
      <c r="AZ36" s="40">
        <f>+(AY36+BA36)/2</f>
        <v>447.44350361782045</v>
      </c>
      <c r="BA36" s="13">
        <v>472.23940925879185</v>
      </c>
      <c r="BB36" s="13">
        <v>430.69390039840073</v>
      </c>
      <c r="BC36" s="13">
        <v>373.51810922148866</v>
      </c>
      <c r="BD36" s="13">
        <v>421.64670665063863</v>
      </c>
      <c r="BE36" s="13">
        <v>431.59307856274279</v>
      </c>
      <c r="BF36" s="13">
        <v>432.57229469999993</v>
      </c>
      <c r="BG36" s="13">
        <v>360.96093283602778</v>
      </c>
      <c r="BH36" s="13">
        <v>400.10316338841426</v>
      </c>
      <c r="BI36" s="13">
        <v>470.87799380000001</v>
      </c>
      <c r="BJ36" s="13">
        <v>460.45971180000004</v>
      </c>
      <c r="BK36" s="13">
        <v>486.08439660000005</v>
      </c>
      <c r="BL36" s="13">
        <v>520.87300000000005</v>
      </c>
      <c r="BM36" s="13">
        <v>588.31299999999999</v>
      </c>
      <c r="BN36" s="13">
        <v>527.62565131999668</v>
      </c>
      <c r="BO36" s="13">
        <v>475.80517541544884</v>
      </c>
      <c r="BP36" s="13">
        <v>567.65499999999997</v>
      </c>
      <c r="BQ36" s="13">
        <v>655.25400000000002</v>
      </c>
      <c r="BR36" s="13">
        <v>559.86300000000006</v>
      </c>
      <c r="BS36" s="13">
        <v>592.74400000000003</v>
      </c>
      <c r="BT36" s="13">
        <v>523.32299999999998</v>
      </c>
      <c r="BU36" s="13">
        <v>508.85</v>
      </c>
      <c r="BV36" s="13">
        <v>537.85500000000002</v>
      </c>
      <c r="BW36" s="13">
        <v>345.416</v>
      </c>
      <c r="BX36" s="21">
        <v>354.03377538289595</v>
      </c>
      <c r="BY36" s="21">
        <v>315.84355868934057</v>
      </c>
      <c r="BZ36" s="21">
        <v>352.79179557629919</v>
      </c>
      <c r="CA36" s="21">
        <v>325.39039411597457</v>
      </c>
      <c r="CB36" s="21">
        <v>381.29502454961016</v>
      </c>
      <c r="CC36" s="21">
        <v>334.527510107956</v>
      </c>
      <c r="CD36" s="21">
        <v>300.9453581261842</v>
      </c>
      <c r="CE36" s="21">
        <v>306.0535368209915</v>
      </c>
      <c r="CF36" s="21">
        <v>427.77102961299863</v>
      </c>
      <c r="CG36" s="21">
        <v>434.00570561209139</v>
      </c>
      <c r="CH36" s="21">
        <v>377.17878526464779</v>
      </c>
      <c r="CI36" s="21">
        <v>417.046842980821</v>
      </c>
      <c r="CJ36" s="21">
        <v>449.16280844649555</v>
      </c>
    </row>
    <row r="37" spans="1:88" s="4" customFormat="1" ht="20.149999999999999" customHeight="1" x14ac:dyDescent="0.3">
      <c r="A37" s="12" t="s">
        <v>35</v>
      </c>
      <c r="B37" s="13">
        <v>300.6653466342151</v>
      </c>
      <c r="C37" s="13">
        <v>241.51360369978872</v>
      </c>
      <c r="D37" s="13">
        <v>277.22155945798102</v>
      </c>
      <c r="E37" s="13">
        <v>323.13469601530659</v>
      </c>
      <c r="F37" s="13">
        <v>265.85296344251924</v>
      </c>
      <c r="G37" s="13">
        <v>233.62856420845208</v>
      </c>
      <c r="H37" s="13">
        <v>282.15681512600406</v>
      </c>
      <c r="I37" s="13">
        <v>247.40978644170116</v>
      </c>
      <c r="J37" s="13">
        <v>214.39521211707833</v>
      </c>
      <c r="K37" s="13">
        <v>187.67590549898935</v>
      </c>
      <c r="L37" s="13">
        <v>236.2735644450014</v>
      </c>
      <c r="M37" s="13">
        <v>232.12223447067393</v>
      </c>
      <c r="N37" s="13">
        <v>227.33798260563216</v>
      </c>
      <c r="O37" s="13">
        <v>171.62148302394598</v>
      </c>
      <c r="P37" s="13">
        <v>216.41161110691593</v>
      </c>
      <c r="Q37" s="13">
        <v>199.38509388934733</v>
      </c>
      <c r="R37" s="40">
        <f t="shared" si="7"/>
        <v>180.73665078625899</v>
      </c>
      <c r="S37" s="14">
        <v>162.08820768317065</v>
      </c>
      <c r="T37" s="13">
        <v>194.77190916715128</v>
      </c>
      <c r="U37" s="13">
        <v>143.65866603159958</v>
      </c>
      <c r="V37" s="13">
        <v>139.76558973080074</v>
      </c>
      <c r="W37" s="13">
        <v>146.48914476250292</v>
      </c>
      <c r="X37" s="13">
        <v>174.1732837360266</v>
      </c>
      <c r="Y37" s="13">
        <v>228.89711485305702</v>
      </c>
      <c r="Z37" s="13">
        <v>186.52954752107226</v>
      </c>
      <c r="AA37" s="13">
        <v>168.90021345199008</v>
      </c>
      <c r="AB37" s="13">
        <v>168.26784109946027</v>
      </c>
      <c r="AC37" s="13">
        <v>167.01217631836982</v>
      </c>
      <c r="AD37" s="13">
        <v>170.64662159068718</v>
      </c>
      <c r="AE37" s="13">
        <v>164.47695165908431</v>
      </c>
      <c r="AF37" s="13">
        <v>158.82190530311721</v>
      </c>
      <c r="AG37" s="13">
        <v>171.36688032501232</v>
      </c>
      <c r="AH37" s="13">
        <v>168.13545350925637</v>
      </c>
      <c r="AI37" s="13">
        <v>148.10176090088203</v>
      </c>
      <c r="AJ37" s="13">
        <v>155.18995989841054</v>
      </c>
      <c r="AK37" s="13">
        <v>173.40975943401295</v>
      </c>
      <c r="AL37" s="13">
        <v>167.50350858075529</v>
      </c>
      <c r="AM37" s="13">
        <v>183.48541346812365</v>
      </c>
      <c r="AN37" s="13">
        <v>175.33230657747063</v>
      </c>
      <c r="AO37" s="13">
        <v>174.18085627117341</v>
      </c>
      <c r="AP37" s="13">
        <v>173.69141893782074</v>
      </c>
      <c r="AQ37" s="13">
        <v>139.26432657662843</v>
      </c>
      <c r="AR37" s="13">
        <v>152.63380025127921</v>
      </c>
      <c r="AS37" s="13">
        <v>146.28561189931196</v>
      </c>
      <c r="AT37" s="13">
        <v>173.62965868493302</v>
      </c>
      <c r="AU37" s="13">
        <v>191.83048583796267</v>
      </c>
      <c r="AV37" s="13">
        <v>158.24541412038067</v>
      </c>
      <c r="AW37" s="13">
        <v>169.08047628106249</v>
      </c>
      <c r="AX37" s="40">
        <f>+(AW37+BA37)/2</f>
        <v>190.75485482742789</v>
      </c>
      <c r="AY37" s="40">
        <f>+(AX37+BA37)/2</f>
        <v>201.59204410061059</v>
      </c>
      <c r="AZ37" s="40">
        <f>+(AY37+BA37)/2</f>
        <v>207.01063873720193</v>
      </c>
      <c r="BA37" s="13">
        <v>212.42923337379329</v>
      </c>
      <c r="BB37" s="13">
        <v>184.79609264983503</v>
      </c>
      <c r="BC37" s="13">
        <v>162.44677303234687</v>
      </c>
      <c r="BD37" s="13">
        <v>203.4730117561146</v>
      </c>
      <c r="BE37" s="13">
        <v>198.093992442576</v>
      </c>
      <c r="BF37" s="13">
        <v>167.71801409999998</v>
      </c>
      <c r="BG37" s="13">
        <v>161.41510953186111</v>
      </c>
      <c r="BH37" s="13">
        <v>205.67903679061786</v>
      </c>
      <c r="BI37" s="13">
        <v>240.84903120000001</v>
      </c>
      <c r="BJ37" s="13">
        <v>228.84996420000004</v>
      </c>
      <c r="BK37" s="13">
        <v>211.70759939999999</v>
      </c>
      <c r="BL37" s="13">
        <v>249.89500000000001</v>
      </c>
      <c r="BM37" s="13">
        <v>245.625</v>
      </c>
      <c r="BN37" s="13">
        <v>228.88889288449889</v>
      </c>
      <c r="BO37" s="13">
        <v>237.89289125010441</v>
      </c>
      <c r="BP37" s="13">
        <v>272.99400000000003</v>
      </c>
      <c r="BQ37" s="13">
        <v>280.75</v>
      </c>
      <c r="BR37" s="13">
        <v>293.87</v>
      </c>
      <c r="BS37" s="13">
        <v>317.73599999999999</v>
      </c>
      <c r="BT37" s="13">
        <v>295.58199999999999</v>
      </c>
      <c r="BU37" s="13">
        <v>237.26400000000001</v>
      </c>
      <c r="BV37" s="13">
        <v>178.114</v>
      </c>
      <c r="BW37" s="13">
        <v>139.946</v>
      </c>
      <c r="BX37" s="21">
        <v>171.64471992253209</v>
      </c>
      <c r="BY37" s="21">
        <v>162.61936900317988</v>
      </c>
      <c r="BZ37" s="21">
        <v>192.79010431818691</v>
      </c>
      <c r="CA37" s="21">
        <v>173.28133075119931</v>
      </c>
      <c r="CB37" s="21">
        <v>176.87368967464371</v>
      </c>
      <c r="CC37" s="21">
        <v>151.70005307667563</v>
      </c>
      <c r="CD37" s="21">
        <v>139.49848357955022</v>
      </c>
      <c r="CE37" s="21">
        <v>132.86056198059421</v>
      </c>
      <c r="CF37" s="21">
        <v>213.16192301730788</v>
      </c>
      <c r="CG37" s="21">
        <v>185.05987635303561</v>
      </c>
      <c r="CH37" s="21">
        <v>156.8189339591016</v>
      </c>
      <c r="CI37" s="21">
        <v>142.85396217776122</v>
      </c>
      <c r="CJ37" s="21">
        <v>180.93359215334726</v>
      </c>
    </row>
    <row r="38" spans="1:88" s="4" customFormat="1" ht="20.149999999999999" customHeight="1" x14ac:dyDescent="0.3">
      <c r="A38" s="12" t="s">
        <v>36</v>
      </c>
      <c r="B38" s="13">
        <v>212.51868614309001</v>
      </c>
      <c r="C38" s="13">
        <v>192.57881668004831</v>
      </c>
      <c r="D38" s="13">
        <v>199.80019216247919</v>
      </c>
      <c r="E38" s="13">
        <v>194.23183961936667</v>
      </c>
      <c r="F38" s="13">
        <v>210.42125598810037</v>
      </c>
      <c r="G38" s="13">
        <v>155.50779482198604</v>
      </c>
      <c r="H38" s="13">
        <v>155.5742473353462</v>
      </c>
      <c r="I38" s="13">
        <v>159.39512569128803</v>
      </c>
      <c r="J38" s="13">
        <v>169.30277861692247</v>
      </c>
      <c r="K38" s="13">
        <v>144.7230813275595</v>
      </c>
      <c r="L38" s="13">
        <v>161.30886792570567</v>
      </c>
      <c r="M38" s="13">
        <v>145.53598846175726</v>
      </c>
      <c r="N38" s="13">
        <v>138.57601150111691</v>
      </c>
      <c r="O38" s="13">
        <v>129.51791875810429</v>
      </c>
      <c r="P38" s="13">
        <v>128.32465640179399</v>
      </c>
      <c r="Q38" s="13">
        <v>107.07993580559149</v>
      </c>
      <c r="R38" s="40">
        <f t="shared" si="7"/>
        <v>99.093216177898967</v>
      </c>
      <c r="S38" s="14">
        <v>91.106496550206444</v>
      </c>
      <c r="T38" s="13">
        <v>110.92320999525846</v>
      </c>
      <c r="U38" s="13">
        <v>88.127486896447337</v>
      </c>
      <c r="V38" s="13">
        <v>107.48405200124584</v>
      </c>
      <c r="W38" s="13">
        <v>74.242662540276839</v>
      </c>
      <c r="X38" s="13">
        <v>109.96704698931225</v>
      </c>
      <c r="Y38" s="13">
        <v>126.19132444344704</v>
      </c>
      <c r="Z38" s="13">
        <v>146.21738363860871</v>
      </c>
      <c r="AA38" s="13">
        <v>149.30610532442489</v>
      </c>
      <c r="AB38" s="13">
        <v>119.90887770275118</v>
      </c>
      <c r="AC38" s="13">
        <v>137.24646457793847</v>
      </c>
      <c r="AD38" s="13">
        <v>105.84782382040741</v>
      </c>
      <c r="AE38" s="13">
        <v>111.0632200136335</v>
      </c>
      <c r="AF38" s="13">
        <v>108.00067280366251</v>
      </c>
      <c r="AG38" s="13">
        <v>99.562004334875837</v>
      </c>
      <c r="AH38" s="13">
        <v>113.73482450548605</v>
      </c>
      <c r="AI38" s="13">
        <v>98.142391663567011</v>
      </c>
      <c r="AJ38" s="13">
        <v>89.413402177923089</v>
      </c>
      <c r="AK38" s="13">
        <v>104.15652892811602</v>
      </c>
      <c r="AL38" s="13">
        <v>109.90295171889957</v>
      </c>
      <c r="AM38" s="13">
        <v>94.105520402643975</v>
      </c>
      <c r="AN38" s="13">
        <v>125.50099775223623</v>
      </c>
      <c r="AO38" s="13">
        <v>98.667844646201971</v>
      </c>
      <c r="AP38" s="13">
        <v>133.83647732619994</v>
      </c>
      <c r="AQ38" s="13">
        <v>106.94509618856375</v>
      </c>
      <c r="AR38" s="13">
        <v>110.95021988151021</v>
      </c>
      <c r="AS38" s="13">
        <v>93.582692663436006</v>
      </c>
      <c r="AT38" s="13">
        <v>96.152682018774556</v>
      </c>
      <c r="AU38" s="13">
        <v>87.392882070713114</v>
      </c>
      <c r="AV38" s="13">
        <v>93.594721850837743</v>
      </c>
      <c r="AW38" s="13">
        <v>79.078378681649198</v>
      </c>
      <c r="AX38" s="40">
        <f>+(AW38+BA38)/2</f>
        <v>91.253395569086507</v>
      </c>
      <c r="AY38" s="40">
        <f>+(AX38+BA38)/2</f>
        <v>97.340904012805154</v>
      </c>
      <c r="AZ38" s="40">
        <f>+(AY38+BA38)/2</f>
        <v>100.38465823466447</v>
      </c>
      <c r="BA38" s="13">
        <v>103.4284124565238</v>
      </c>
      <c r="BB38" s="13">
        <v>135.65511086991972</v>
      </c>
      <c r="BC38" s="13">
        <v>89.244350222860163</v>
      </c>
      <c r="BD38" s="13">
        <v>151.39246721583169</v>
      </c>
      <c r="BE38" s="13">
        <v>100.32254043270585</v>
      </c>
      <c r="BF38" s="13">
        <v>119.67058739999999</v>
      </c>
      <c r="BG38" s="13">
        <v>106.02776985651388</v>
      </c>
      <c r="BH38" s="13">
        <v>180.5323575065311</v>
      </c>
      <c r="BI38" s="13">
        <v>144.27330409999999</v>
      </c>
      <c r="BJ38" s="13">
        <v>113.66409780000002</v>
      </c>
      <c r="BK38" s="13">
        <v>122.0111046</v>
      </c>
      <c r="BL38" s="13">
        <v>148.494</v>
      </c>
      <c r="BM38" s="13">
        <v>146.07400000000001</v>
      </c>
      <c r="BN38" s="13">
        <v>146.22738184934585</v>
      </c>
      <c r="BO38" s="13">
        <v>111.43577368851774</v>
      </c>
      <c r="BP38" s="13">
        <v>139.125</v>
      </c>
      <c r="BQ38" s="13">
        <v>213.643</v>
      </c>
      <c r="BR38" s="13">
        <v>162.46799999999999</v>
      </c>
      <c r="BS38" s="13">
        <v>153.69499999999999</v>
      </c>
      <c r="BT38" s="13">
        <v>133.053</v>
      </c>
      <c r="BU38" s="13">
        <v>161.86799999999999</v>
      </c>
      <c r="BV38" s="13">
        <v>111.6</v>
      </c>
      <c r="BW38" s="13">
        <v>100.21</v>
      </c>
      <c r="BX38" s="21">
        <v>112.58195063554111</v>
      </c>
      <c r="BY38" s="21">
        <v>122.29170966403983</v>
      </c>
      <c r="BZ38" s="21">
        <v>122.0114317043718</v>
      </c>
      <c r="CA38" s="21">
        <v>78.749023207797308</v>
      </c>
      <c r="CB38" s="21">
        <v>87.202731917182021</v>
      </c>
      <c r="CC38" s="21">
        <v>73.441678483239386</v>
      </c>
      <c r="CD38" s="21">
        <v>105.34673385982839</v>
      </c>
      <c r="CE38" s="21">
        <v>98.993335620211511</v>
      </c>
      <c r="CF38" s="21">
        <v>123.61994461660183</v>
      </c>
      <c r="CG38" s="21">
        <v>114.24083850761498</v>
      </c>
      <c r="CH38" s="21">
        <v>110.5188188872748</v>
      </c>
      <c r="CI38" s="21">
        <v>105.89475049086614</v>
      </c>
      <c r="CJ38" s="21">
        <v>145.02318911429109</v>
      </c>
    </row>
    <row r="39" spans="1:88" ht="20.149999999999999" customHeight="1" x14ac:dyDescent="0.25">
      <c r="A39" s="12" t="s">
        <v>37</v>
      </c>
      <c r="B39" s="21">
        <v>153.92298646771187</v>
      </c>
      <c r="C39" s="21">
        <v>122.35883659507908</v>
      </c>
      <c r="D39" s="21">
        <v>128.07360558637595</v>
      </c>
      <c r="E39" s="21">
        <v>115.15517302729739</v>
      </c>
      <c r="F39" s="21">
        <v>106.57627616444098</v>
      </c>
      <c r="G39" s="21">
        <v>106.32756049098354</v>
      </c>
      <c r="H39" s="21">
        <v>131.29628753444518</v>
      </c>
      <c r="I39" s="21">
        <v>118.75191713976672</v>
      </c>
      <c r="J39" s="21">
        <v>92.704514672221734</v>
      </c>
      <c r="K39" s="21">
        <v>97.972049430308672</v>
      </c>
      <c r="L39" s="21">
        <v>103.3662934307835</v>
      </c>
      <c r="M39" s="21">
        <v>82.199174010548376</v>
      </c>
      <c r="N39" s="21">
        <v>105.04243060086338</v>
      </c>
      <c r="O39" s="21">
        <v>73.612460623432</v>
      </c>
      <c r="P39" s="21">
        <v>100.20938389141514</v>
      </c>
      <c r="Q39" s="21">
        <v>69.242534852590424</v>
      </c>
      <c r="R39" s="40">
        <f t="shared" si="7"/>
        <v>68.685802244695225</v>
      </c>
      <c r="S39" s="21">
        <v>68.12906963680004</v>
      </c>
      <c r="T39" s="21">
        <v>79.336789257453887</v>
      </c>
      <c r="U39" s="21">
        <v>61.660815880697101</v>
      </c>
      <c r="V39" s="21">
        <v>67.678925135353808</v>
      </c>
      <c r="W39" s="21">
        <v>61.053579980630644</v>
      </c>
      <c r="X39" s="21">
        <v>84.643806445487769</v>
      </c>
      <c r="Y39" s="21">
        <v>97.891536068082544</v>
      </c>
      <c r="Z39" s="21">
        <v>68.126786030480858</v>
      </c>
      <c r="AA39" s="21">
        <v>98.700135594367623</v>
      </c>
      <c r="AB39" s="21">
        <v>72.393373784539335</v>
      </c>
      <c r="AC39" s="21">
        <v>74.333231708089912</v>
      </c>
      <c r="AD39" s="21">
        <v>76.037328068628653</v>
      </c>
      <c r="AE39" s="21">
        <v>76.495432549482331</v>
      </c>
      <c r="AF39" s="21">
        <v>62.615017895247121</v>
      </c>
      <c r="AG39" s="21">
        <v>58.797493956514955</v>
      </c>
      <c r="AH39" s="21">
        <v>70.199128463483206</v>
      </c>
      <c r="AI39" s="21">
        <v>68.002989098043599</v>
      </c>
      <c r="AJ39" s="21">
        <v>72.291927421565177</v>
      </c>
      <c r="AK39" s="21">
        <v>77.863899267258063</v>
      </c>
      <c r="AL39" s="21">
        <v>74.016021956283424</v>
      </c>
      <c r="AM39" s="21">
        <v>71.128625861848406</v>
      </c>
      <c r="AN39" s="21">
        <v>84.80008795722047</v>
      </c>
      <c r="AO39" s="21">
        <v>76.642012263435831</v>
      </c>
      <c r="AP39" s="21">
        <v>74.488572118694506</v>
      </c>
      <c r="AQ39" s="21">
        <v>57.698303317298944</v>
      </c>
      <c r="AR39" s="21">
        <v>61.435821542565819</v>
      </c>
      <c r="AS39" s="21">
        <v>94.008869968669728</v>
      </c>
      <c r="AT39" s="21">
        <v>67.868120379642676</v>
      </c>
      <c r="AU39" s="21">
        <v>56.719593898680586</v>
      </c>
      <c r="AV39" s="21">
        <v>67.396664306742665</v>
      </c>
      <c r="AW39" s="21">
        <v>67.824731964018724</v>
      </c>
      <c r="AX39" s="40">
        <f>+(AW39+BA39)/2</f>
        <v>71.908646026411546</v>
      </c>
      <c r="AY39" s="40">
        <f>+(AX39+BA39)/2</f>
        <v>73.950603057607964</v>
      </c>
      <c r="AZ39" s="40">
        <f>+(AY39+BA39)/2</f>
        <v>74.971581573206166</v>
      </c>
      <c r="BA39" s="21">
        <v>75.992560088804368</v>
      </c>
      <c r="BB39" s="21">
        <v>75.786139978008578</v>
      </c>
      <c r="BC39" s="21">
        <v>62.548948057795101</v>
      </c>
      <c r="BD39" s="21">
        <v>107.22775165013857</v>
      </c>
      <c r="BE39" s="21">
        <v>63.062662562111875</v>
      </c>
      <c r="BF39" s="21">
        <v>57.565598999999992</v>
      </c>
      <c r="BG39" s="21">
        <v>53.828924140791663</v>
      </c>
      <c r="BH39" s="21">
        <v>61.435072825147657</v>
      </c>
      <c r="BI39" s="21">
        <v>79.686159500000002</v>
      </c>
      <c r="BJ39" s="21">
        <v>73.874948400000022</v>
      </c>
      <c r="BK39" s="21">
        <v>69.291466200000002</v>
      </c>
      <c r="BL39" s="21">
        <v>109.245</v>
      </c>
      <c r="BM39" s="21">
        <v>100.245</v>
      </c>
      <c r="BN39" s="21">
        <v>60.192470086382791</v>
      </c>
      <c r="BO39" s="21">
        <v>66.427879455532363</v>
      </c>
      <c r="BP39" s="21">
        <v>103.262</v>
      </c>
      <c r="BQ39" s="21">
        <v>95.864999999999995</v>
      </c>
      <c r="BR39" s="21">
        <v>107.134</v>
      </c>
      <c r="BS39" s="21">
        <v>71.662000000000006</v>
      </c>
      <c r="BT39" s="21">
        <v>74.387</v>
      </c>
      <c r="BU39" s="21">
        <v>82.213999999999999</v>
      </c>
      <c r="BV39" s="21">
        <v>56.42</v>
      </c>
      <c r="BW39" s="21">
        <v>50.518000000000001</v>
      </c>
      <c r="BX39" s="21">
        <v>47.967573753055419</v>
      </c>
      <c r="BY39" s="21">
        <v>52.090308309138663</v>
      </c>
      <c r="BZ39" s="21">
        <v>63.197006025988223</v>
      </c>
      <c r="CA39" s="21">
        <v>43.649411046971039</v>
      </c>
      <c r="CB39" s="21">
        <v>48.297146732992744</v>
      </c>
      <c r="CC39" s="21">
        <v>64.261849178636311</v>
      </c>
      <c r="CD39" s="21">
        <v>39.306537141350915</v>
      </c>
      <c r="CE39" s="21">
        <v>64.042564209455506</v>
      </c>
      <c r="CF39" s="21">
        <v>76.48425344035239</v>
      </c>
      <c r="CG39" s="21">
        <v>104.1638253781924</v>
      </c>
      <c r="CH39" s="21">
        <v>73.3959326057536</v>
      </c>
      <c r="CI39" s="21">
        <v>51.068675089405296</v>
      </c>
      <c r="CJ39" s="21">
        <v>49.703049992806307</v>
      </c>
    </row>
    <row r="40" spans="1:88" ht="20.149999999999999" customHeight="1" thickBot="1" x14ac:dyDescent="0.3">
      <c r="A40" s="17" t="s">
        <v>38</v>
      </c>
      <c r="B40" s="22">
        <v>81.938834214018456</v>
      </c>
      <c r="C40" s="22">
        <v>53.969753361749554</v>
      </c>
      <c r="D40" s="22">
        <v>55.263363843032664</v>
      </c>
      <c r="E40" s="22">
        <v>47.408332280134957</v>
      </c>
      <c r="F40" s="22">
        <v>62.724450842162888</v>
      </c>
      <c r="G40" s="22">
        <v>41.362136405832118</v>
      </c>
      <c r="H40" s="22">
        <v>50.968566167731851</v>
      </c>
      <c r="I40" s="22">
        <v>53.329527983788104</v>
      </c>
      <c r="J40" s="22">
        <v>46.771873708550821</v>
      </c>
      <c r="K40" s="22">
        <v>38.049664669884805</v>
      </c>
      <c r="L40" s="22">
        <v>60.105657477692276</v>
      </c>
      <c r="M40" s="22">
        <v>55.657388420420311</v>
      </c>
      <c r="N40" s="22">
        <v>35.498115293583787</v>
      </c>
      <c r="O40" s="22">
        <v>39.700420499731429</v>
      </c>
      <c r="P40" s="22">
        <v>36.304129347554095</v>
      </c>
      <c r="Q40" s="22">
        <v>37.585333830511374</v>
      </c>
      <c r="R40" s="40">
        <f t="shared" si="7"/>
        <v>30.739397012761739</v>
      </c>
      <c r="S40" s="22">
        <v>23.893460195012103</v>
      </c>
      <c r="T40" s="22">
        <v>36.564168060001158</v>
      </c>
      <c r="U40" s="22">
        <v>32.477532090670934</v>
      </c>
      <c r="V40" s="22">
        <v>26.895064139904388</v>
      </c>
      <c r="W40" s="22">
        <v>43.761608423597046</v>
      </c>
      <c r="X40" s="22">
        <v>42.746602901940321</v>
      </c>
      <c r="Y40" s="22">
        <v>37.558518318263879</v>
      </c>
      <c r="Z40" s="22">
        <v>34.763341847053802</v>
      </c>
      <c r="AA40" s="22">
        <v>40.203127675123945</v>
      </c>
      <c r="AB40" s="22">
        <v>54.198083645313709</v>
      </c>
      <c r="AC40" s="22">
        <v>36.877642412675129</v>
      </c>
      <c r="AD40" s="22">
        <v>31.426961648127534</v>
      </c>
      <c r="AE40" s="22">
        <v>34.071329752569497</v>
      </c>
      <c r="AF40" s="22">
        <v>46.916124494483675</v>
      </c>
      <c r="AG40" s="22">
        <v>32.927764681085797</v>
      </c>
      <c r="AH40" s="22">
        <v>43.692757147742689</v>
      </c>
      <c r="AI40" s="22">
        <v>31.774134206207069</v>
      </c>
      <c r="AJ40" s="22">
        <v>32.511067836376313</v>
      </c>
      <c r="AK40" s="22">
        <v>23.250660514910383</v>
      </c>
      <c r="AL40" s="22">
        <v>28.314750590106755</v>
      </c>
      <c r="AM40" s="22">
        <v>29.530533848332556</v>
      </c>
      <c r="AN40" s="22">
        <v>31.237690666979709</v>
      </c>
      <c r="AO40" s="22">
        <v>36.252891616651461</v>
      </c>
      <c r="AP40" s="22">
        <v>34.609892583491082</v>
      </c>
      <c r="AQ40" s="22">
        <v>23.018989915387088</v>
      </c>
      <c r="AR40" s="22">
        <v>45.377343378311053</v>
      </c>
      <c r="AS40" s="22">
        <v>32.546646969905126</v>
      </c>
      <c r="AT40" s="22">
        <v>28.250498338773049</v>
      </c>
      <c r="AU40" s="22">
        <v>29.29020099517626</v>
      </c>
      <c r="AV40" s="22">
        <v>37.963213851030943</v>
      </c>
      <c r="AW40" s="22">
        <v>25.602998961666653</v>
      </c>
      <c r="AX40" s="40">
        <f>+(AW40+BA40)/2</f>
        <v>50.223371309373228</v>
      </c>
      <c r="AY40" s="40">
        <f>+(AX40+BA40)/2</f>
        <v>62.533557483226517</v>
      </c>
      <c r="AZ40" s="40">
        <f>+(AY40+BA40)/2</f>
        <v>68.688650570153158</v>
      </c>
      <c r="BA40" s="22">
        <v>74.843743657079798</v>
      </c>
      <c r="BB40" s="22">
        <v>40.900584074671954</v>
      </c>
      <c r="BC40" s="22">
        <v>30.446882163096628</v>
      </c>
      <c r="BD40" s="22">
        <v>33.860609967832417</v>
      </c>
      <c r="BE40" s="22">
        <v>39.930564399863734</v>
      </c>
      <c r="BF40" s="22">
        <v>41.181776999999997</v>
      </c>
      <c r="BG40" s="22">
        <v>38.904874857152777</v>
      </c>
      <c r="BH40" s="22">
        <v>65.828490085222612</v>
      </c>
      <c r="BI40" s="22">
        <v>39.311367400000002</v>
      </c>
      <c r="BJ40" s="22">
        <v>44.518042800000011</v>
      </c>
      <c r="BK40" s="22">
        <v>33.023489400000003</v>
      </c>
      <c r="BL40" s="22">
        <v>38.658999999999999</v>
      </c>
      <c r="BM40" s="22">
        <v>42.472000000000001</v>
      </c>
      <c r="BN40" s="22">
        <v>48.931563204379387</v>
      </c>
      <c r="BO40" s="22">
        <v>25.136280190396661</v>
      </c>
      <c r="BP40" s="22">
        <v>48.531999999999996</v>
      </c>
      <c r="BQ40" s="22">
        <v>42.908999999999999</v>
      </c>
      <c r="BR40" s="22">
        <v>33.317999999999998</v>
      </c>
      <c r="BS40" s="22">
        <v>54.91</v>
      </c>
      <c r="BT40" s="22">
        <v>55.341000000000001</v>
      </c>
      <c r="BU40" s="22">
        <v>33.86</v>
      </c>
      <c r="BV40" s="22">
        <v>25.491</v>
      </c>
      <c r="BW40" s="22">
        <v>19.350000000000001</v>
      </c>
      <c r="BX40" s="22">
        <v>18.758980305975467</v>
      </c>
      <c r="BY40" s="22">
        <v>45.943054334301117</v>
      </c>
      <c r="BZ40" s="22">
        <v>20.404662375153901</v>
      </c>
      <c r="CA40" s="22">
        <v>7.8968408780578123</v>
      </c>
      <c r="CB40" s="22">
        <v>28.797407125571393</v>
      </c>
      <c r="CC40" s="22">
        <v>29.01990915349268</v>
      </c>
      <c r="CD40" s="22">
        <v>14.591887293086243</v>
      </c>
      <c r="CE40" s="22">
        <v>8.1570013687472755</v>
      </c>
      <c r="CF40" s="22">
        <v>25.38784931273922</v>
      </c>
      <c r="CG40" s="22">
        <v>17.154754149065585</v>
      </c>
      <c r="CH40" s="22">
        <v>37.943529283222205</v>
      </c>
      <c r="CI40" s="22">
        <v>25.219769261146322</v>
      </c>
      <c r="CJ40" s="22">
        <v>45.715360293059753</v>
      </c>
    </row>
    <row r="41" spans="1:88" s="2" customFormat="1" ht="28.5" customHeight="1" x14ac:dyDescent="0.3">
      <c r="A41" s="24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1:88" s="4" customFormat="1" ht="21" customHeight="1" x14ac:dyDescent="0.3">
      <c r="A42" s="49" t="s">
        <v>33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</row>
    <row r="43" spans="1:88" s="2" customFormat="1" ht="26.15" customHeight="1" x14ac:dyDescent="0.3">
      <c r="A43" s="43" t="s">
        <v>41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</row>
    <row r="44" spans="1:88" s="2" customFormat="1" ht="24.75" customHeight="1" x14ac:dyDescent="0.3">
      <c r="A44" s="44" t="s">
        <v>78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"/>
      <c r="AT44" s="4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</row>
    <row r="45" spans="1:88" s="2" customFormat="1" ht="26.15" customHeight="1" x14ac:dyDescent="0.3">
      <c r="A45" s="41" t="s">
        <v>76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</row>
    <row r="46" spans="1:88" s="2" customFormat="1" ht="27.75" customHeight="1" x14ac:dyDescent="0.3">
      <c r="A46" s="28" t="s">
        <v>77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</row>
    <row r="47" spans="1:88" s="2" customFormat="1" ht="26.15" customHeight="1" x14ac:dyDescent="0.3">
      <c r="A47" s="43" t="s">
        <v>100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</row>
    <row r="48" spans="1:88" s="4" customFormat="1" ht="20.149999999999999" customHeight="1" x14ac:dyDescent="0.3">
      <c r="A48" s="44" t="s">
        <v>101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</row>
    <row r="49" spans="1:88" s="4" customFormat="1" ht="30" customHeight="1" x14ac:dyDescent="0.3">
      <c r="A49" s="45" t="s">
        <v>128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</row>
  </sheetData>
  <mergeCells count="10">
    <mergeCell ref="A45:BA45"/>
    <mergeCell ref="A47:AI47"/>
    <mergeCell ref="A48:AR48"/>
    <mergeCell ref="A49:AI49"/>
    <mergeCell ref="A1:AI1"/>
    <mergeCell ref="A2:AI2"/>
    <mergeCell ref="A3:AI3"/>
    <mergeCell ref="A42:AI42"/>
    <mergeCell ref="A43:AI43"/>
    <mergeCell ref="A44:AR4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 (2)</vt:lpstr>
      <vt:lpstr>'BEL (2)'!Área_de_impresión</vt:lpstr>
    </vt:vector>
  </TitlesOfParts>
  <Company>Ministerio de Trabajo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Salvaneschi</dc:creator>
  <cp:lastModifiedBy>WGekko</cp:lastModifiedBy>
  <cp:lastPrinted>2007-07-25T20:18:13Z</cp:lastPrinted>
  <dcterms:created xsi:type="dcterms:W3CDTF">2007-01-05T16:29:51Z</dcterms:created>
  <dcterms:modified xsi:type="dcterms:W3CDTF">2025-11-05T20:34:12Z</dcterms:modified>
</cp:coreProperties>
</file>