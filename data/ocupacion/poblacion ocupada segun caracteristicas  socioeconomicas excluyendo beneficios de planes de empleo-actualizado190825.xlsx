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Gekko\Documents\app-trabajo\data\ocupacion\"/>
    </mc:Choice>
  </mc:AlternateContent>
  <bookViews>
    <workbookView xWindow="0" yWindow="0" windowWidth="21580" windowHeight="8150"/>
  </bookViews>
  <sheets>
    <sheet name="BEL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1_0CUADRO_N__4.">[1]Afiliados!#REF!</definedName>
    <definedName name="_2_0GRÁFICO_N_10.2">[1]Afiliados!#REF!</definedName>
    <definedName name="_cd1" hidden="1">{"'cua 42'!$A$1:$O$40"}</definedName>
    <definedName name="_COL1">#REF!</definedName>
    <definedName name="_COL2">#REF!</definedName>
    <definedName name="_COL3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L9">#REF!</definedName>
    <definedName name="_Key1" hidden="1">'[2]dep pre'!#REF!</definedName>
    <definedName name="_Order1" hidden="1">255</definedName>
    <definedName name="_Parse_In" hidden="1">'[2]dep pre'!#REF!</definedName>
    <definedName name="_Parse_Out" hidden="1">'[2]dep pre'!#REF!</definedName>
    <definedName name="_Sort" hidden="1">'[2]dep pre'!#REF!</definedName>
    <definedName name="A">#REF!</definedName>
    <definedName name="A_impresión_IM">#REF!</definedName>
    <definedName name="AA" hidden="1">{"'cua 42'!$A$1:$O$40"}</definedName>
    <definedName name="ab" hidden="1">{"'cua 42'!$A$1:$O$40"}</definedName>
    <definedName name="adf">'[3]dep pre'!#REF!</definedName>
    <definedName name="af">'[4]sist. financiero_san Luis'!#REF!</definedName>
    <definedName name="affff" hidden="1">{"'cua 42'!$A$1:$O$40"}</definedName>
    <definedName name="AMPO5">"Gráfico 8"</definedName>
    <definedName name="_xlnm.Extract">'[2]dep pre'!#REF!</definedName>
    <definedName name="_xlnm.Print_Area" localSheetId="0">BEL!$A$1:$BE$77</definedName>
    <definedName name="_xlnm.Print_Area">#N/A</definedName>
    <definedName name="asa">'[5]graf 1'!$A$3:$C$28</definedName>
    <definedName name="asdf">'[3]dep pre'!#REF!</definedName>
    <definedName name="Base_datos_IM">'[4]sist. financiero_san Luis'!#REF!</definedName>
    <definedName name="_xlnm.Database">[6]compara!$A$1:$C$27</definedName>
    <definedName name="BB" hidden="1">{"'cua 42'!$A$1:$O$40"}</definedName>
    <definedName name="BORRA_CUADROS">[7]!BORRA_CUADROS</definedName>
    <definedName name="cacho">[8]GRAFPROM!#REF!</definedName>
    <definedName name="carajo">#REF!</definedName>
    <definedName name="cc" hidden="1">{"'cua 42'!$A$1:$O$40"}</definedName>
    <definedName name="Cobertura_del_Plan_Jefes_as_de_Hogar__por_municipio___Junio_2002">#REF!</definedName>
    <definedName name="_xlnm.Criteria">'[4]sist. financiero_san Luis'!#REF!</definedName>
    <definedName name="Criterios_IM">'[4]sist. financiero_san Luis'!#REF!</definedName>
    <definedName name="CUADRO_10.3.1">'[9]fondo promedio'!$A$36:$L$74</definedName>
    <definedName name="CUADRO_N__4.1.3">#REF!</definedName>
    <definedName name="culo">'[5]graf 1'!$A$1:$IV$2</definedName>
    <definedName name="datos">#REF!</definedName>
    <definedName name="dd" hidden="1">{"'cua 42'!$A$1:$O$40"}</definedName>
    <definedName name="dfg" hidden="1">{"'cua 42'!$A$1:$O$40"}</definedName>
    <definedName name="dfgh" hidden="1">{"'cua 42'!$A$1:$O$40"}</definedName>
    <definedName name="dobleclick">#REF!</definedName>
    <definedName name="Extracción_IM">'[2]dep pre'!#REF!</definedName>
    <definedName name="FECHA">#REF!</definedName>
    <definedName name="feo">#REF!</definedName>
    <definedName name="fffffffffff" hidden="1">{"'tasa de salida'!$A$1:$G$48"}</definedName>
    <definedName name="GRÁFICO_10.3.1.">'[9]GRÁFICO DE FONDO POR AFILIADO'!$A$3:$H$35</definedName>
    <definedName name="GRÁFICO_10.3.2">'[9]GRÁFICO DE FONDO POR AFILIADO'!$A$36:$H$68</definedName>
    <definedName name="GRÁFICO_10.3.3">'[9]GRÁFICO DE FONDO POR AFILIADO'!$A$69:$H$101</definedName>
    <definedName name="GRÁFICO_10.3.4.">'[9]GRÁFICO DE FONDO POR AFILIADO'!$A$103:$H$135</definedName>
    <definedName name="GRÁFICO_N_10.2.4.">#REF!</definedName>
    <definedName name="gu" hidden="1">'[3]dep pre'!#REF!</definedName>
    <definedName name="hh" hidden="1">{"'cuadro 18 '!$A$1:$L$34"}</definedName>
    <definedName name="hllliun" hidden="1">'[3]dep pre'!#REF!</definedName>
    <definedName name="hp9pk">'[4]sist. financiero_san Luis'!#REF!</definedName>
    <definedName name="HTML_CodePage" hidden="1">1252</definedName>
    <definedName name="HTML_Control" hidden="1">{"'tasa de salida'!$A$1:$G$48"}</definedName>
    <definedName name="HTML_Control2" hidden="1">{"'tasa de salida'!$A$1:$G$48"}</definedName>
    <definedName name="HTML_Control3" hidden="1">{"'tasa de salida'!$A$1:$G$48"}</definedName>
    <definedName name="HTML_Description" hidden="1">""</definedName>
    <definedName name="HTML_Email" hidden="1">"dnrmt@trabajo.gov.ar"</definedName>
    <definedName name="HTML_Header" hidden="1">""</definedName>
    <definedName name="HTML_LastUpdate" hidden="1">"22/02/1999"</definedName>
    <definedName name="HTML_LineAfter" hidden="1">TRUE</definedName>
    <definedName name="HTML_LineBefore" hidden="1">FALSE</definedName>
    <definedName name="HTML_Name" hidden="1">"MTSS - SEyCL - DNRMT"</definedName>
    <definedName name="HTML_OBDlg2" hidden="1">TRUE</definedName>
    <definedName name="HTML_OBDlg4" hidden="1">TRUE</definedName>
    <definedName name="HTML_OS" hidden="1">0</definedName>
    <definedName name="HTML_PathFile" hidden="1">"Z:\juanpi\anexo eil - web\html\eil0199\1207.html"</definedName>
    <definedName name="HTML_Title" hidden="1">""</definedName>
    <definedName name="iupg">'[3]dep pre'!#REF!</definedName>
    <definedName name="jjjjjjjjjjj" hidden="1">{"'cua 42'!$A$1:$O$40"}</definedName>
    <definedName name="jppmpñ" hidden="1">{"'cua 42'!$A$1:$O$40"}</definedName>
    <definedName name="lkjp" hidden="1">'[3]dep pre'!#REF!</definedName>
    <definedName name="MUJERES">[10]Mujeres!$B$77:$V$109</definedName>
    <definedName name="nnnnnnnnnnn" hidden="1">{"'cua 42'!$A$1:$O$40"}</definedName>
    <definedName name="npppppnj">'[3]dep pre'!#REF!</definedName>
    <definedName name="PIJIS">#REF!</definedName>
    <definedName name="Print_Area_MI">#REF!</definedName>
    <definedName name="PRINT_TITLES_MI">#REF!</definedName>
    <definedName name="promgraf">[8]GRAFPROM!#REF!</definedName>
    <definedName name="puto">#REF!</definedName>
    <definedName name="santiago" hidden="1">{"'cua 42'!$A$1:$O$40"}</definedName>
    <definedName name="sertes" hidden="1">{"'cua 42'!$A$1:$O$40"}</definedName>
    <definedName name="sfg" hidden="1">'[3]dep pre'!#REF!</definedName>
    <definedName name="shit" hidden="1">{"'cua 42'!$A$1:$O$40"}</definedName>
    <definedName name="SOPA">#REF!</definedName>
    <definedName name="sopapita">#REF!</definedName>
    <definedName name="ssssss" hidden="1">{"'tasa de salida'!$A$1:$G$48"}</definedName>
    <definedName name="Títulos_a_imprimir_IM">#REF!</definedName>
    <definedName name="TRANSFERENCIA">[7]!TRANSFERENCIA</definedName>
    <definedName name="tyurt" hidden="1">{"'cua 42'!$A$1:$O$40"}</definedName>
    <definedName name="v">#REF!</definedName>
    <definedName name="VARONES">[10]Varones!$B$77:$V$109</definedName>
    <definedName name="YO">[8]GRAFPROM!#REF!</definedName>
    <definedName name="yuetyy" hidden="1">{"'cua 42'!$A$1:$O$40"}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X68" i="2" l="1"/>
  <c r="AY68" i="2" s="1"/>
  <c r="AZ68" i="2" s="1"/>
  <c r="AX67" i="2"/>
  <c r="AY67" i="2" s="1"/>
  <c r="AZ67" i="2" s="1"/>
  <c r="AX66" i="2"/>
  <c r="AY66" i="2" s="1"/>
  <c r="AZ66" i="2" s="1"/>
  <c r="AY65" i="2"/>
  <c r="AZ65" i="2" s="1"/>
  <c r="AX65" i="2"/>
  <c r="AX64" i="2"/>
  <c r="AY64" i="2" s="1"/>
  <c r="AZ64" i="2" s="1"/>
  <c r="AY62" i="2"/>
  <c r="AZ62" i="2" s="1"/>
  <c r="AX62" i="2"/>
  <c r="AX61" i="2"/>
  <c r="AY61" i="2" s="1"/>
  <c r="AZ61" i="2" s="1"/>
  <c r="AX60" i="2"/>
  <c r="AY60" i="2" s="1"/>
  <c r="AZ60" i="2" s="1"/>
  <c r="AX59" i="2"/>
  <c r="AY59" i="2" s="1"/>
  <c r="AZ59" i="2" s="1"/>
  <c r="AX58" i="2"/>
  <c r="AY58" i="2" s="1"/>
  <c r="AZ58" i="2" s="1"/>
  <c r="AX57" i="2"/>
  <c r="AY57" i="2" s="1"/>
  <c r="AZ57" i="2" s="1"/>
  <c r="AX55" i="2"/>
  <c r="AY55" i="2" s="1"/>
  <c r="AZ55" i="2" s="1"/>
  <c r="AX54" i="2"/>
  <c r="AY54" i="2" s="1"/>
  <c r="AZ54" i="2" s="1"/>
  <c r="AY53" i="2"/>
  <c r="AZ53" i="2" s="1"/>
  <c r="AX53" i="2"/>
  <c r="AX52" i="2"/>
  <c r="AY52" i="2" s="1"/>
  <c r="AZ52" i="2" s="1"/>
  <c r="AX50" i="2"/>
  <c r="AY50" i="2" s="1"/>
  <c r="AZ50" i="2" s="1"/>
  <c r="AX49" i="2"/>
  <c r="AY49" i="2" s="1"/>
  <c r="AZ49" i="2" s="1"/>
  <c r="AX48" i="2"/>
  <c r="AY48" i="2" s="1"/>
  <c r="AZ48" i="2" s="1"/>
  <c r="AY47" i="2"/>
  <c r="AZ47" i="2" s="1"/>
  <c r="AX47" i="2"/>
  <c r="AX45" i="2"/>
  <c r="AY45" i="2" s="1"/>
  <c r="AZ45" i="2" s="1"/>
  <c r="AX44" i="2"/>
  <c r="AY44" i="2" s="1"/>
  <c r="AZ44" i="2" s="1"/>
  <c r="AX43" i="2"/>
  <c r="AY43" i="2" s="1"/>
  <c r="AZ43" i="2" s="1"/>
  <c r="AY42" i="2"/>
  <c r="AZ42" i="2" s="1"/>
  <c r="AX42" i="2"/>
  <c r="AX41" i="2"/>
  <c r="AY41" i="2" s="1"/>
  <c r="AZ41" i="2" s="1"/>
  <c r="AX40" i="2"/>
  <c r="AY40" i="2" s="1"/>
  <c r="AZ40" i="2" s="1"/>
  <c r="AX39" i="2"/>
  <c r="AY39" i="2" s="1"/>
  <c r="AZ39" i="2" s="1"/>
  <c r="AX38" i="2"/>
  <c r="AY38" i="2" s="1"/>
  <c r="AZ38" i="2" s="1"/>
  <c r="AX37" i="2"/>
  <c r="AY37" i="2" s="1"/>
  <c r="AZ37" i="2" s="1"/>
  <c r="AX36" i="2"/>
  <c r="AY36" i="2" s="1"/>
  <c r="AZ36" i="2" s="1"/>
  <c r="AX35" i="2"/>
  <c r="AY35" i="2" s="1"/>
  <c r="AZ35" i="2" s="1"/>
  <c r="AY34" i="2"/>
  <c r="AZ34" i="2" s="1"/>
  <c r="AX34" i="2"/>
  <c r="AX33" i="2"/>
  <c r="AY33" i="2" s="1"/>
  <c r="AZ33" i="2" s="1"/>
  <c r="AX31" i="2"/>
  <c r="AY31" i="2" s="1"/>
  <c r="AZ31" i="2" s="1"/>
  <c r="AX30" i="2"/>
  <c r="AY30" i="2" s="1"/>
  <c r="AZ30" i="2" s="1"/>
  <c r="AX29" i="2"/>
  <c r="AY29" i="2" s="1"/>
  <c r="AZ29" i="2" s="1"/>
  <c r="AY28" i="2"/>
  <c r="AZ28" i="2" s="1"/>
  <c r="AX28" i="2"/>
  <c r="AX26" i="2"/>
  <c r="AY26" i="2" s="1"/>
  <c r="AZ26" i="2" s="1"/>
  <c r="AX25" i="2"/>
  <c r="AY25" i="2" s="1"/>
  <c r="AZ25" i="2" s="1"/>
  <c r="AX24" i="2"/>
  <c r="AY24" i="2" s="1"/>
  <c r="AZ24" i="2" s="1"/>
  <c r="AY23" i="2"/>
  <c r="AZ23" i="2" s="1"/>
  <c r="AX23" i="2"/>
  <c r="AX22" i="2"/>
  <c r="AY22" i="2" s="1"/>
  <c r="AZ22" i="2" s="1"/>
  <c r="AX21" i="2"/>
  <c r="AY21" i="2" s="1"/>
  <c r="AZ21" i="2" s="1"/>
  <c r="AX19" i="2"/>
  <c r="AY19" i="2" s="1"/>
  <c r="AZ19" i="2" s="1"/>
  <c r="AX18" i="2"/>
  <c r="AY18" i="2" s="1"/>
  <c r="AZ18" i="2" s="1"/>
  <c r="AX17" i="2"/>
  <c r="AY17" i="2" s="1"/>
  <c r="AZ17" i="2" s="1"/>
  <c r="AY16" i="2"/>
  <c r="AZ16" i="2" s="1"/>
  <c r="AX16" i="2"/>
  <c r="AX14" i="2"/>
  <c r="AY14" i="2" s="1"/>
  <c r="AZ14" i="2" s="1"/>
  <c r="AX13" i="2"/>
  <c r="AY13" i="2" s="1"/>
  <c r="AZ13" i="2" s="1"/>
  <c r="AX12" i="2"/>
  <c r="AY12" i="2" s="1"/>
  <c r="AZ12" i="2" s="1"/>
  <c r="AY11" i="2"/>
  <c r="AZ11" i="2" s="1"/>
  <c r="AX11" i="2"/>
  <c r="AX10" i="2"/>
  <c r="AY10" i="2" s="1"/>
  <c r="AZ10" i="2" s="1"/>
  <c r="AX8" i="2"/>
  <c r="AY8" i="2" s="1"/>
  <c r="AZ8" i="2" s="1"/>
  <c r="AX7" i="2"/>
  <c r="AY7" i="2" s="1"/>
  <c r="AZ7" i="2" s="1"/>
  <c r="AX5" i="2"/>
  <c r="AY5" i="2" s="1"/>
  <c r="AZ5" i="2" s="1"/>
  <c r="R68" i="2"/>
  <c r="R67" i="2"/>
  <c r="R66" i="2"/>
  <c r="R65" i="2"/>
  <c r="R64" i="2"/>
  <c r="R62" i="2"/>
  <c r="R61" i="2"/>
  <c r="R60" i="2"/>
  <c r="R59" i="2"/>
  <c r="R58" i="2"/>
  <c r="R57" i="2"/>
  <c r="R55" i="2"/>
  <c r="R54" i="2"/>
  <c r="R53" i="2"/>
  <c r="R52" i="2"/>
  <c r="R50" i="2"/>
  <c r="R49" i="2"/>
  <c r="R48" i="2"/>
  <c r="R47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1" i="2"/>
  <c r="R30" i="2"/>
  <c r="R29" i="2"/>
  <c r="R28" i="2"/>
  <c r="R26" i="2"/>
  <c r="R25" i="2"/>
  <c r="R24" i="2"/>
  <c r="R23" i="2"/>
  <c r="R22" i="2"/>
  <c r="R21" i="2"/>
  <c r="R19" i="2"/>
  <c r="R18" i="2"/>
  <c r="R17" i="2"/>
  <c r="R16" i="2"/>
  <c r="R14" i="2"/>
  <c r="R13" i="2"/>
  <c r="R12" i="2"/>
  <c r="R11" i="2"/>
  <c r="R10" i="2"/>
  <c r="R8" i="2"/>
  <c r="R7" i="2"/>
  <c r="R5" i="2"/>
</calcChain>
</file>

<file path=xl/sharedStrings.xml><?xml version="1.0" encoding="utf-8"?>
<sst xmlns="http://schemas.openxmlformats.org/spreadsheetml/2006/main" count="163" uniqueCount="162">
  <si>
    <t>Mercado de trabajo - EPH</t>
  </si>
  <si>
    <t>Total</t>
  </si>
  <si>
    <t>Sexo</t>
  </si>
  <si>
    <t>Varones</t>
  </si>
  <si>
    <t>Mujeres</t>
  </si>
  <si>
    <t>Hasta 24 años</t>
  </si>
  <si>
    <t>Entre 25 y 34 años</t>
  </si>
  <si>
    <t>Entre 35 y 49 años</t>
  </si>
  <si>
    <t>Entre 50 y 59 años</t>
  </si>
  <si>
    <t>60 años y más</t>
  </si>
  <si>
    <t>Posición en el hogar</t>
  </si>
  <si>
    <t>Jefe</t>
  </si>
  <si>
    <t>Cónyuge</t>
  </si>
  <si>
    <t>Hijo</t>
  </si>
  <si>
    <t>Otros</t>
  </si>
  <si>
    <t>Nivel educativo</t>
  </si>
  <si>
    <t>Hasta primario incompleto</t>
  </si>
  <si>
    <t>Primario completo</t>
  </si>
  <si>
    <t>Secundario incompleto</t>
  </si>
  <si>
    <t>Secundario completo</t>
  </si>
  <si>
    <t>Terc/univ incompleto</t>
  </si>
  <si>
    <t>Terc/univ completo</t>
  </si>
  <si>
    <t>Categoría ocupacional</t>
  </si>
  <si>
    <t>Patrón</t>
  </si>
  <si>
    <t>Cuenta propia</t>
  </si>
  <si>
    <t>Obrero o empleado</t>
  </si>
  <si>
    <t>Trabajador familiar</t>
  </si>
  <si>
    <t>Rama de actividad</t>
  </si>
  <si>
    <t>Actividades primarias</t>
  </si>
  <si>
    <t>Industria manufacturera</t>
  </si>
  <si>
    <t>Construcción</t>
  </si>
  <si>
    <t>Comercio</t>
  </si>
  <si>
    <t>Hoteles y restaurantes</t>
  </si>
  <si>
    <t>Transporte, almacenaje y comunicaciones</t>
  </si>
  <si>
    <t>Serv financieros, inmobiliarios, alquileres y empresariales</t>
  </si>
  <si>
    <t>Enseñanza</t>
  </si>
  <si>
    <t>Servicios sociales y de salud</t>
  </si>
  <si>
    <t>Otras ramas</t>
  </si>
  <si>
    <t>Sin especificar</t>
  </si>
  <si>
    <t>Tamaño del establecimiento</t>
  </si>
  <si>
    <t>Hasta 5 personas</t>
  </si>
  <si>
    <t>De 6 a 40 personas</t>
  </si>
  <si>
    <t>Más de 40 personas</t>
  </si>
  <si>
    <t>Calificación de la tarea</t>
  </si>
  <si>
    <t>Profesional</t>
  </si>
  <si>
    <t>Técnica</t>
  </si>
  <si>
    <t>Operativa</t>
  </si>
  <si>
    <t>Sin calificación</t>
  </si>
  <si>
    <t>Horas trabajadas</t>
  </si>
  <si>
    <t>Hasta 19 horas</t>
  </si>
  <si>
    <t>De 20 a 34 horas</t>
  </si>
  <si>
    <t>De 35 a 45 horas</t>
  </si>
  <si>
    <t>De 46 a 60 horas</t>
  </si>
  <si>
    <t>Más de 60 horas</t>
  </si>
  <si>
    <t>No trabajó en la semana</t>
  </si>
  <si>
    <t>Notas:</t>
  </si>
  <si>
    <t>1° Trim 06</t>
  </si>
  <si>
    <t>2° Trim 06</t>
  </si>
  <si>
    <t>3° Trim 06</t>
  </si>
  <si>
    <t>4° Trim 06</t>
  </si>
  <si>
    <t>1° Trim 07</t>
  </si>
  <si>
    <t>Ingreso per cápita familiar</t>
  </si>
  <si>
    <t>2do Quintil</t>
  </si>
  <si>
    <t>3er Quintil</t>
  </si>
  <si>
    <t>4to Quintil</t>
  </si>
  <si>
    <t>5to Quintil</t>
  </si>
  <si>
    <r>
      <t xml:space="preserve">Total aglomerados relevados </t>
    </r>
    <r>
      <rPr>
        <b/>
        <i/>
        <sz val="11"/>
        <color indexed="9"/>
        <rFont val="Arial"/>
        <family val="2"/>
      </rPr>
      <t>(en miles de personas)</t>
    </r>
  </si>
  <si>
    <r>
      <t>1</t>
    </r>
    <r>
      <rPr>
        <vertAlign val="superscript"/>
        <sz val="10"/>
        <rFont val="Arial"/>
        <family val="2"/>
      </rPr>
      <t>er</t>
    </r>
    <r>
      <rPr>
        <sz val="10"/>
        <rFont val="Arial"/>
        <family val="2"/>
      </rPr>
      <t xml:space="preserve"> Quintil</t>
    </r>
  </si>
  <si>
    <t>Grupos de edad</t>
  </si>
  <si>
    <t>1. Se excluyen del total de asalariados a los beneficiarios de planes de empleo (Programa Jefes de Hogar y otros programas) que realizan contraprestación laboral.</t>
  </si>
  <si>
    <t>Trabajo doméstico</t>
  </si>
  <si>
    <t>2° Trim 16</t>
  </si>
  <si>
    <t>3° Trim 16</t>
  </si>
  <si>
    <r>
      <t xml:space="preserve">2° Trim 07 </t>
    </r>
    <r>
      <rPr>
        <b/>
        <vertAlign val="superscript"/>
        <sz val="12"/>
        <rFont val="Arial"/>
        <family val="2"/>
      </rPr>
      <t>2</t>
    </r>
  </si>
  <si>
    <r>
      <t xml:space="preserve">4° Trim 07 </t>
    </r>
    <r>
      <rPr>
        <b/>
        <vertAlign val="superscript"/>
        <sz val="12"/>
        <rFont val="Arial"/>
        <family val="2"/>
      </rPr>
      <t>2</t>
    </r>
  </si>
  <si>
    <r>
      <t xml:space="preserve">1° Trim 08 </t>
    </r>
    <r>
      <rPr>
        <b/>
        <vertAlign val="superscript"/>
        <sz val="12"/>
        <rFont val="Arial"/>
        <family val="2"/>
      </rPr>
      <t>2</t>
    </r>
  </si>
  <si>
    <r>
      <t xml:space="preserve">2° Trim 08 </t>
    </r>
    <r>
      <rPr>
        <b/>
        <vertAlign val="superscript"/>
        <sz val="12"/>
        <rFont val="Arial"/>
        <family val="2"/>
      </rPr>
      <t>2</t>
    </r>
  </si>
  <si>
    <r>
      <t xml:space="preserve">3° Trim 08 </t>
    </r>
    <r>
      <rPr>
        <b/>
        <vertAlign val="superscript"/>
        <sz val="12"/>
        <rFont val="Arial"/>
        <family val="2"/>
      </rPr>
      <t>2</t>
    </r>
  </si>
  <si>
    <r>
      <t xml:space="preserve">4° Trim 08 </t>
    </r>
    <r>
      <rPr>
        <b/>
        <vertAlign val="superscript"/>
        <sz val="12"/>
        <rFont val="Arial"/>
        <family val="2"/>
      </rPr>
      <t>2</t>
    </r>
  </si>
  <si>
    <r>
      <t xml:space="preserve">1° Trim 09 </t>
    </r>
    <r>
      <rPr>
        <b/>
        <vertAlign val="superscript"/>
        <sz val="12"/>
        <rFont val="Arial"/>
        <family val="2"/>
      </rPr>
      <t>2</t>
    </r>
  </si>
  <si>
    <r>
      <t xml:space="preserve">2° Trim 09 </t>
    </r>
    <r>
      <rPr>
        <b/>
        <vertAlign val="superscript"/>
        <sz val="12"/>
        <rFont val="Arial"/>
        <family val="2"/>
      </rPr>
      <t>2</t>
    </r>
  </si>
  <si>
    <r>
      <t xml:space="preserve">3° Trim 09 </t>
    </r>
    <r>
      <rPr>
        <b/>
        <vertAlign val="superscript"/>
        <sz val="12"/>
        <rFont val="Arial"/>
        <family val="2"/>
      </rPr>
      <t>2</t>
    </r>
  </si>
  <si>
    <r>
      <t xml:space="preserve">4° Trim 09 </t>
    </r>
    <r>
      <rPr>
        <b/>
        <vertAlign val="superscript"/>
        <sz val="12"/>
        <rFont val="Arial"/>
        <family val="2"/>
      </rPr>
      <t>2</t>
    </r>
  </si>
  <si>
    <r>
      <t xml:space="preserve">1° Trim 10 </t>
    </r>
    <r>
      <rPr>
        <b/>
        <vertAlign val="superscript"/>
        <sz val="12"/>
        <rFont val="Arial"/>
        <family val="2"/>
      </rPr>
      <t>2</t>
    </r>
  </si>
  <si>
    <r>
      <t xml:space="preserve">2° Trim 10 </t>
    </r>
    <r>
      <rPr>
        <b/>
        <vertAlign val="superscript"/>
        <sz val="12"/>
        <rFont val="Arial"/>
        <family val="2"/>
      </rPr>
      <t>2</t>
    </r>
  </si>
  <si>
    <r>
      <t xml:space="preserve">3° Trim 10 </t>
    </r>
    <r>
      <rPr>
        <b/>
        <vertAlign val="superscript"/>
        <sz val="12"/>
        <rFont val="Arial"/>
        <family val="2"/>
      </rPr>
      <t>2</t>
    </r>
  </si>
  <si>
    <r>
      <t xml:space="preserve">4° Trim 10 </t>
    </r>
    <r>
      <rPr>
        <b/>
        <vertAlign val="superscript"/>
        <sz val="12"/>
        <rFont val="Arial"/>
        <family val="2"/>
      </rPr>
      <t>2</t>
    </r>
  </si>
  <si>
    <r>
      <t xml:space="preserve">1° Trim 11 </t>
    </r>
    <r>
      <rPr>
        <b/>
        <vertAlign val="superscript"/>
        <sz val="12"/>
        <rFont val="Arial"/>
        <family val="2"/>
      </rPr>
      <t>2</t>
    </r>
  </si>
  <si>
    <r>
      <t xml:space="preserve">2° Trim 11 </t>
    </r>
    <r>
      <rPr>
        <b/>
        <vertAlign val="superscript"/>
        <sz val="12"/>
        <rFont val="Arial"/>
        <family val="2"/>
      </rPr>
      <t>2</t>
    </r>
  </si>
  <si>
    <r>
      <t xml:space="preserve">3° Trim 11 </t>
    </r>
    <r>
      <rPr>
        <b/>
        <vertAlign val="superscript"/>
        <sz val="12"/>
        <rFont val="Arial"/>
        <family val="2"/>
      </rPr>
      <t>2</t>
    </r>
  </si>
  <si>
    <r>
      <t xml:space="preserve">4° Trim 11 </t>
    </r>
    <r>
      <rPr>
        <b/>
        <vertAlign val="superscript"/>
        <sz val="12"/>
        <rFont val="Arial"/>
        <family val="2"/>
      </rPr>
      <t>2</t>
    </r>
  </si>
  <si>
    <r>
      <t xml:space="preserve">1° Trim 12 </t>
    </r>
    <r>
      <rPr>
        <b/>
        <vertAlign val="superscript"/>
        <sz val="12"/>
        <rFont val="Arial"/>
        <family val="2"/>
      </rPr>
      <t>2</t>
    </r>
  </si>
  <si>
    <r>
      <t xml:space="preserve">2° Trim 12 </t>
    </r>
    <r>
      <rPr>
        <b/>
        <vertAlign val="superscript"/>
        <sz val="12"/>
        <rFont val="Arial"/>
        <family val="2"/>
      </rPr>
      <t>2</t>
    </r>
  </si>
  <si>
    <r>
      <t xml:space="preserve">3° Trim 12 </t>
    </r>
    <r>
      <rPr>
        <b/>
        <vertAlign val="superscript"/>
        <sz val="12"/>
        <rFont val="Arial"/>
        <family val="2"/>
      </rPr>
      <t>2</t>
    </r>
  </si>
  <si>
    <r>
      <t xml:space="preserve">4° Trim 12 </t>
    </r>
    <r>
      <rPr>
        <b/>
        <vertAlign val="superscript"/>
        <sz val="12"/>
        <rFont val="Arial"/>
        <family val="2"/>
      </rPr>
      <t>2</t>
    </r>
  </si>
  <si>
    <r>
      <t xml:space="preserve">1° Trim 13 </t>
    </r>
    <r>
      <rPr>
        <b/>
        <vertAlign val="superscript"/>
        <sz val="12"/>
        <rFont val="Arial"/>
        <family val="2"/>
      </rPr>
      <t>2</t>
    </r>
  </si>
  <si>
    <r>
      <t xml:space="preserve">2° Trim 13 </t>
    </r>
    <r>
      <rPr>
        <b/>
        <vertAlign val="superscript"/>
        <sz val="12"/>
        <rFont val="Arial"/>
        <family val="2"/>
      </rPr>
      <t>2</t>
    </r>
  </si>
  <si>
    <r>
      <t xml:space="preserve">3° Trim 13 </t>
    </r>
    <r>
      <rPr>
        <b/>
        <vertAlign val="superscript"/>
        <sz val="12"/>
        <rFont val="Arial"/>
        <family val="2"/>
      </rPr>
      <t>2</t>
    </r>
  </si>
  <si>
    <r>
      <t xml:space="preserve">4° Trim 13 </t>
    </r>
    <r>
      <rPr>
        <b/>
        <vertAlign val="superscript"/>
        <sz val="12"/>
        <rFont val="Arial"/>
        <family val="2"/>
      </rPr>
      <t>2</t>
    </r>
  </si>
  <si>
    <r>
      <t xml:space="preserve">2° Trim 14 </t>
    </r>
    <r>
      <rPr>
        <b/>
        <vertAlign val="superscript"/>
        <sz val="12"/>
        <rFont val="Arial"/>
        <family val="2"/>
      </rPr>
      <t>2</t>
    </r>
  </si>
  <si>
    <r>
      <t xml:space="preserve">3° Trim 14 </t>
    </r>
    <r>
      <rPr>
        <b/>
        <vertAlign val="superscript"/>
        <sz val="12"/>
        <rFont val="Arial"/>
        <family val="2"/>
      </rPr>
      <t>2</t>
    </r>
  </si>
  <si>
    <r>
      <t xml:space="preserve">4° Trim 14 </t>
    </r>
    <r>
      <rPr>
        <b/>
        <vertAlign val="superscript"/>
        <sz val="12"/>
        <rFont val="Arial"/>
        <family val="2"/>
      </rPr>
      <t>2</t>
    </r>
  </si>
  <si>
    <r>
      <t xml:space="preserve">1° Trim 15 </t>
    </r>
    <r>
      <rPr>
        <b/>
        <vertAlign val="superscript"/>
        <sz val="12"/>
        <rFont val="Arial"/>
        <family val="2"/>
      </rPr>
      <t>2</t>
    </r>
  </si>
  <si>
    <r>
      <t xml:space="preserve">2° Trim 15 </t>
    </r>
    <r>
      <rPr>
        <b/>
        <vertAlign val="superscript"/>
        <sz val="12"/>
        <rFont val="Arial"/>
        <family val="2"/>
      </rPr>
      <t>2</t>
    </r>
  </si>
  <si>
    <t>2. El INDEC ha dispuesto que las series estadísticas de la EPH del período comprendido entre el 2° trimestre de 2007 y hasta diciembre 2015 deben ser consideradas con reservas, conforme a la emergencia estadística (Decretos 181/15 y 55/16) . Ver "Consideración sobre la revisión, evaluación y recuperación de la EPH" publicado por INDEC el 23/8/2016.</t>
  </si>
  <si>
    <r>
      <t>Otros servicios comunitarios, sociales y personales</t>
    </r>
    <r>
      <rPr>
        <vertAlign val="superscript"/>
        <sz val="10"/>
        <rFont val="Arial"/>
        <family val="2"/>
      </rPr>
      <t xml:space="preserve"> 6</t>
    </r>
  </si>
  <si>
    <t>6. Incluye Administración pública y defensa, Asociaciones sindicales, empresariales y sociales, Servicios culturales y deportivos, entre otros.</t>
  </si>
  <si>
    <t>4° Trim 16</t>
  </si>
  <si>
    <t>1° Trim 17</t>
  </si>
  <si>
    <t>2° Trim 17</t>
  </si>
  <si>
    <t>3° Trim 17</t>
  </si>
  <si>
    <t>4° Trim 17</t>
  </si>
  <si>
    <t>1° Trim 18</t>
  </si>
  <si>
    <t>2° Trim 18</t>
  </si>
  <si>
    <t>3° Trim 18</t>
  </si>
  <si>
    <t>3° Trim 03</t>
  </si>
  <si>
    <t>4° Trim 03</t>
  </si>
  <si>
    <t>1° Trim 04</t>
  </si>
  <si>
    <t>2° Trim 04</t>
  </si>
  <si>
    <t>3° Trim 04</t>
  </si>
  <si>
    <t>4° Trim 04</t>
  </si>
  <si>
    <t>1° Trim 05</t>
  </si>
  <si>
    <t>2° Trim 05</t>
  </si>
  <si>
    <t>3° Trim 05</t>
  </si>
  <si>
    <t>4° Trim 05</t>
  </si>
  <si>
    <r>
      <t xml:space="preserve">3° Trim 07 </t>
    </r>
    <r>
      <rPr>
        <b/>
        <vertAlign val="superscript"/>
        <sz val="12"/>
        <rFont val="Arial"/>
        <family val="2"/>
      </rPr>
      <t>2 3</t>
    </r>
  </si>
  <si>
    <r>
      <t xml:space="preserve">1° Trim 14 </t>
    </r>
    <r>
      <rPr>
        <b/>
        <vertAlign val="superscript"/>
        <sz val="12"/>
        <rFont val="Arial"/>
        <family val="2"/>
      </rPr>
      <t>2 4</t>
    </r>
  </si>
  <si>
    <r>
      <t xml:space="preserve">3° Trim 15 </t>
    </r>
    <r>
      <rPr>
        <b/>
        <vertAlign val="superscript"/>
        <sz val="12"/>
        <rFont val="Arial"/>
        <family val="2"/>
      </rPr>
      <t>2 5</t>
    </r>
  </si>
  <si>
    <r>
      <t xml:space="preserve">4° Trim 15 </t>
    </r>
    <r>
      <rPr>
        <b/>
        <vertAlign val="superscript"/>
        <sz val="12"/>
        <rFont val="Arial"/>
        <family val="2"/>
      </rPr>
      <t>2 5</t>
    </r>
  </si>
  <si>
    <r>
      <t xml:space="preserve">1° Trim 16 </t>
    </r>
    <r>
      <rPr>
        <b/>
        <vertAlign val="superscript"/>
        <sz val="12"/>
        <rFont val="Arial"/>
        <family val="2"/>
      </rPr>
      <t>5</t>
    </r>
  </si>
  <si>
    <t>3. No se presenta la información debido a que en dicho trimestre no se relevaron algunos de los principales aglomerados de la EPH (GBA, Mar del Plata, Bahía Blanca y Gran La Plata).</t>
  </si>
  <si>
    <t>4. A partir del 1° trimestre de 2014 todas las viviendas seleccionadas para la EPH fueron extraídas de la Muestra Maestra Urbana de Viviendas (MMUVRA), basada en el CNPHV 2010, y todas las estimaciones finales se ajustan de acuerdo a las proyecciones de población del CNPHyV 2010. Esto produce cambios de diferente significación en relación a las estructuras de las poblaciones proyectadas lo cual impacta en las estimaciones sobre propiedades asociadas a la distribución por sexo o por edades. Las poblaciones ajustadas según las proyecciones del CNPHyV 2010 exhiben Tasas de actividad y de empleo menores que las ajustadas según las proyecciones del CNPHyV 2001. Es decir que las estimaciones de la EPH a partir del año 2014 no son estrictamente comparables con las de períodos anteriores.</t>
  </si>
  <si>
    <t>5. Información no disponible</t>
  </si>
  <si>
    <t>4° Trim 18</t>
  </si>
  <si>
    <r>
      <t xml:space="preserve">Población ocupada </t>
    </r>
    <r>
      <rPr>
        <b/>
        <sz val="14"/>
        <color indexed="9"/>
        <rFont val="Arial"/>
        <family val="2"/>
      </rPr>
      <t xml:space="preserve">según sexo, grupos de edad, posición en el hogar, nivel educativo, categoría ocupacional, rama de actividad, tamaño del establecimiento, calificación de la tarea, horas trabajadas y quintil de ingreso per cápita familiar, excluyendo beneficiarios de planes de empleo </t>
    </r>
    <r>
      <rPr>
        <b/>
        <vertAlign val="superscript"/>
        <sz val="14"/>
        <color indexed="9"/>
        <rFont val="Arial"/>
        <family val="2"/>
      </rPr>
      <t>1</t>
    </r>
    <r>
      <rPr>
        <b/>
        <sz val="14"/>
        <color indexed="9"/>
        <rFont val="Arial"/>
        <family val="2"/>
      </rPr>
      <t>.</t>
    </r>
  </si>
  <si>
    <t>2° Trim 19</t>
  </si>
  <si>
    <t>1° Trim 19</t>
  </si>
  <si>
    <t>3° Trim 19</t>
  </si>
  <si>
    <t>4° Trim 19</t>
  </si>
  <si>
    <t>1° Trim 20</t>
  </si>
  <si>
    <t>2° Trim 20</t>
  </si>
  <si>
    <t>3° Trim 20</t>
  </si>
  <si>
    <t>4° Trim 20</t>
  </si>
  <si>
    <t>1° Trim 21</t>
  </si>
  <si>
    <t>2° Trim 21</t>
  </si>
  <si>
    <t>3° Trim 21</t>
  </si>
  <si>
    <t>4° Trim 21</t>
  </si>
  <si>
    <t>1° Trim 22</t>
  </si>
  <si>
    <t>2° Trim 22</t>
  </si>
  <si>
    <t>3° Trim 22</t>
  </si>
  <si>
    <t>4° Trim 22</t>
  </si>
  <si>
    <t>1° Trim 23</t>
  </si>
  <si>
    <t>2° Trim 23</t>
  </si>
  <si>
    <t>3° Trim 23</t>
  </si>
  <si>
    <t>4° Trim 23</t>
  </si>
  <si>
    <t>1° Trim 24</t>
  </si>
  <si>
    <t>Fuente: STEySS - Dirección General de Estudios y Estadísticas Laborales, en base a EPH (INDEC).</t>
  </si>
  <si>
    <t>2° Trim 24</t>
  </si>
  <si>
    <t>3° Trim 24</t>
  </si>
  <si>
    <t>4° Trim 24</t>
  </si>
  <si>
    <t>1° Trim 25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</si>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</sst>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 * #,##0.00_ ;_ * \-#,##0.00_ ;_ * &quot;-&quot;??_ ;_ @_ "/>
    <numFmt numFmtId="165" formatCode="_ * #,##0_ ;_ * \-#,##0_ ;_ * &quot;-&quot;??_ ;_ @_ "/>
    <numFmt numFmtId="166" formatCode="#.##000"/>
    <numFmt numFmtId="167" formatCode="\$#,#00"/>
    <numFmt numFmtId="168" formatCode="#,#00"/>
    <numFmt numFmtId="169" formatCode="#.##0,"/>
    <numFmt numFmtId="170" formatCode="\$#,"/>
    <numFmt numFmtId="171" formatCode="_ [$€-2]\ * #,##0.00_ ;_ [$€-2]\ * \-#,##0.00_ ;_ [$€-2]\ * &quot;-&quot;??_ "/>
    <numFmt numFmtId="172" formatCode="&quot;$&quot;#,##0\ ;\(&quot;$&quot;#,##0\)"/>
  </numFmts>
  <fonts count="19" x14ac:knownFonts="1">
    <font>
      <sz val="10"/>
      <name val="Arial"/>
    </font>
    <font>
      <sz val="10"/>
      <name val="Arial"/>
      <family val="2"/>
    </font>
    <font>
      <b/>
      <sz val="1"/>
      <color indexed="8"/>
      <name val="Courier"/>
      <family val="3"/>
    </font>
    <font>
      <sz val="10"/>
      <color indexed="22"/>
      <name val="Arial"/>
      <family val="2"/>
    </font>
    <font>
      <sz val="12"/>
      <name val="Helv"/>
    </font>
    <font>
      <sz val="1"/>
      <color indexed="8"/>
      <name val="Courier"/>
      <family val="3"/>
    </font>
    <font>
      <sz val="10"/>
      <name val="Verdana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b/>
      <sz val="14"/>
      <color indexed="9"/>
      <name val="Arial"/>
      <family val="2"/>
    </font>
    <font>
      <b/>
      <sz val="11"/>
      <color indexed="9"/>
      <name val="Arial"/>
      <family val="2"/>
    </font>
    <font>
      <b/>
      <sz val="12"/>
      <name val="Arial"/>
      <family val="2"/>
    </font>
    <font>
      <b/>
      <i/>
      <sz val="11"/>
      <color indexed="9"/>
      <name val="Arial"/>
      <family val="2"/>
    </font>
    <font>
      <b/>
      <vertAlign val="superscript"/>
      <sz val="14"/>
      <color indexed="9"/>
      <name val="Arial"/>
      <family val="2"/>
    </font>
    <font>
      <b/>
      <vertAlign val="superscript"/>
      <sz val="12"/>
      <name val="Arial"/>
      <family val="2"/>
    </font>
    <font>
      <vertAlign val="superscript"/>
      <sz val="10"/>
      <name val="Arial"/>
      <family val="2"/>
    </font>
    <font>
      <b/>
      <sz val="10"/>
      <color theme="4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0">
      <protection locked="0"/>
    </xf>
    <xf numFmtId="0" fontId="2" fillId="0" borderId="0">
      <protection locked="0"/>
    </xf>
    <xf numFmtId="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/>
    <xf numFmtId="171" fontId="1" fillId="0" borderId="0" applyFont="0" applyFill="0" applyBorder="0" applyAlignment="0" applyProtection="0"/>
    <xf numFmtId="0" fontId="5" fillId="0" borderId="0">
      <protection locked="0"/>
    </xf>
    <xf numFmtId="168" fontId="5" fillId="0" borderId="0">
      <protection locked="0"/>
    </xf>
    <xf numFmtId="2" fontId="3" fillId="0" borderId="0" applyFont="0" applyFill="0" applyBorder="0" applyAlignment="0" applyProtection="0"/>
    <xf numFmtId="164" fontId="7" fillId="0" borderId="0" applyFont="0" applyFill="0" applyBorder="0" applyAlignment="0" applyProtection="0"/>
    <xf numFmtId="167" fontId="5" fillId="0" borderId="0">
      <protection locked="0"/>
    </xf>
    <xf numFmtId="170" fontId="5" fillId="0" borderId="0">
      <protection locked="0"/>
    </xf>
    <xf numFmtId="0" fontId="1" fillId="0" borderId="0"/>
    <xf numFmtId="0" fontId="6" fillId="0" borderId="0"/>
    <xf numFmtId="166" fontId="5" fillId="0" borderId="0">
      <protection locked="0"/>
    </xf>
    <xf numFmtId="169" fontId="5" fillId="0" borderId="0">
      <protection locked="0"/>
    </xf>
    <xf numFmtId="0" fontId="5" fillId="0" borderId="1">
      <protection locked="0"/>
    </xf>
  </cellStyleXfs>
  <cellXfs count="65">
    <xf numFmtId="0" fontId="0" fillId="0" borderId="0" xfId="0"/>
    <xf numFmtId="0" fontId="9" fillId="0" borderId="0" xfId="15" applyFont="1" applyAlignment="1">
      <alignment horizontal="center" vertical="center"/>
    </xf>
    <xf numFmtId="0" fontId="7" fillId="0" borderId="0" xfId="15" applyFont="1" applyAlignment="1">
      <alignment vertical="center"/>
    </xf>
    <xf numFmtId="0" fontId="10" fillId="2" borderId="0" xfId="14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165" fontId="9" fillId="0" borderId="2" xfId="11" applyNumberFormat="1" applyFont="1" applyBorder="1" applyAlignment="1">
      <alignment horizontal="left" vertical="center"/>
    </xf>
    <xf numFmtId="165" fontId="9" fillId="0" borderId="2" xfId="11" applyNumberFormat="1" applyFont="1" applyBorder="1" applyAlignment="1">
      <alignment horizontal="right" vertical="center"/>
    </xf>
    <xf numFmtId="165" fontId="9" fillId="0" borderId="0" xfId="11" applyNumberFormat="1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165" fontId="9" fillId="0" borderId="3" xfId="11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65" fontId="9" fillId="0" borderId="3" xfId="11" applyNumberFormat="1" applyFont="1" applyBorder="1" applyAlignment="1">
      <alignment horizontal="left" vertical="center"/>
    </xf>
    <xf numFmtId="165" fontId="7" fillId="0" borderId="0" xfId="11" applyNumberFormat="1" applyFont="1" applyBorder="1" applyAlignment="1">
      <alignment horizontal="left" vertical="center" indent="1"/>
    </xf>
    <xf numFmtId="165" fontId="7" fillId="0" borderId="0" xfId="11" applyNumberFormat="1" applyFont="1" applyBorder="1" applyAlignment="1">
      <alignment vertical="center"/>
    </xf>
    <xf numFmtId="165" fontId="7" fillId="0" borderId="0" xfId="11" applyNumberFormat="1" applyFont="1" applyBorder="1" applyAlignment="1">
      <alignment horizontal="right" vertical="center"/>
    </xf>
    <xf numFmtId="165" fontId="9" fillId="0" borderId="2" xfId="11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3" fontId="7" fillId="0" borderId="0" xfId="0" applyNumberFormat="1" applyFont="1"/>
    <xf numFmtId="165" fontId="7" fillId="0" borderId="2" xfId="11" applyNumberFormat="1" applyFont="1" applyBorder="1" applyAlignment="1">
      <alignment horizontal="left" vertical="center" indent="1"/>
    </xf>
    <xf numFmtId="165" fontId="7" fillId="0" borderId="2" xfId="11" applyNumberFormat="1" applyFont="1" applyBorder="1" applyAlignment="1">
      <alignment vertical="center"/>
    </xf>
    <xf numFmtId="165" fontId="7" fillId="0" borderId="2" xfId="11" applyNumberFormat="1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2" fillId="3" borderId="2" xfId="15" applyFont="1" applyFill="1" applyBorder="1" applyAlignment="1">
      <alignment horizontal="center" vertical="center"/>
    </xf>
    <xf numFmtId="0" fontId="1" fillId="0" borderId="0" xfId="11" applyNumberFormat="1" applyFont="1" applyBorder="1" applyAlignment="1">
      <alignment horizontal="left" vertical="center" indent="1"/>
    </xf>
    <xf numFmtId="0" fontId="18" fillId="0" borderId="0" xfId="0" applyFont="1" applyAlignment="1">
      <alignment horizontal="left" vertical="center"/>
    </xf>
    <xf numFmtId="0" fontId="1" fillId="0" borderId="0" xfId="15" applyFont="1" applyAlignment="1">
      <alignment vertical="center"/>
    </xf>
    <xf numFmtId="165" fontId="1" fillId="0" borderId="0" xfId="11" applyNumberFormat="1" applyFont="1" applyBorder="1" applyAlignment="1">
      <alignment horizontal="right" vertical="center"/>
    </xf>
    <xf numFmtId="165" fontId="9" fillId="0" borderId="2" xfId="11" applyNumberFormat="1" applyFont="1" applyFill="1" applyBorder="1" applyAlignment="1">
      <alignment horizontal="right" vertical="center"/>
    </xf>
    <xf numFmtId="165" fontId="9" fillId="0" borderId="3" xfId="11" applyNumberFormat="1" applyFont="1" applyFill="1" applyBorder="1" applyAlignment="1">
      <alignment horizontal="left" vertical="center"/>
    </xf>
    <xf numFmtId="165" fontId="7" fillId="0" borderId="0" xfId="11" applyNumberFormat="1" applyFont="1" applyFill="1" applyBorder="1" applyAlignment="1">
      <alignment vertical="center"/>
    </xf>
    <xf numFmtId="165" fontId="9" fillId="0" borderId="2" xfId="11" applyNumberFormat="1" applyFont="1" applyFill="1" applyBorder="1" applyAlignment="1">
      <alignment horizontal="left" vertical="center"/>
    </xf>
    <xf numFmtId="165" fontId="7" fillId="0" borderId="2" xfId="11" applyNumberFormat="1" applyFont="1" applyFill="1" applyBorder="1" applyAlignment="1">
      <alignment vertical="center"/>
    </xf>
    <xf numFmtId="165" fontId="1" fillId="0" borderId="0" xfId="11" applyNumberFormat="1" applyFont="1" applyFill="1" applyBorder="1" applyAlignment="1">
      <alignment horizontal="right" vertical="center"/>
    </xf>
    <xf numFmtId="165" fontId="7" fillId="0" borderId="0" xfId="11" applyNumberFormat="1" applyFont="1" applyFill="1" applyBorder="1" applyAlignment="1">
      <alignment horizontal="right" vertical="center"/>
    </xf>
    <xf numFmtId="165" fontId="9" fillId="0" borderId="3" xfId="11" applyNumberFormat="1" applyFont="1" applyBorder="1" applyAlignment="1">
      <alignment horizontal="center" vertical="center"/>
    </xf>
    <xf numFmtId="165" fontId="9" fillId="0" borderId="2" xfId="11" applyNumberFormat="1" applyFont="1" applyBorder="1" applyAlignment="1">
      <alignment horizontal="center" vertical="center"/>
    </xf>
    <xf numFmtId="165" fontId="7" fillId="0" borderId="2" xfId="11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1" fillId="2" borderId="5" xfId="15" applyFont="1" applyFill="1" applyBorder="1" applyAlignment="1">
      <alignment horizontal="center" vertical="center"/>
    </xf>
    <xf numFmtId="165" fontId="7" fillId="0" borderId="2" xfId="0" applyNumberFormat="1" applyFont="1" applyBorder="1" applyAlignment="1">
      <alignment vertical="center"/>
    </xf>
    <xf numFmtId="165" fontId="1" fillId="0" borderId="2" xfId="11" applyNumberFormat="1" applyFont="1" applyFill="1" applyBorder="1" applyAlignment="1">
      <alignment horizontal="right" vertical="center"/>
    </xf>
    <xf numFmtId="165" fontId="1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165" fontId="1" fillId="0" borderId="0" xfId="11" applyNumberFormat="1" applyFont="1" applyBorder="1" applyAlignment="1">
      <alignment vertical="center"/>
    </xf>
    <xf numFmtId="165" fontId="1" fillId="0" borderId="2" xfId="11" applyNumberFormat="1" applyFont="1" applyBorder="1" applyAlignment="1">
      <alignment vertical="center"/>
    </xf>
    <xf numFmtId="3" fontId="1" fillId="0" borderId="0" xfId="0" applyNumberFormat="1" applyFont="1"/>
    <xf numFmtId="0" fontId="1" fillId="0" borderId="2" xfId="0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165" fontId="9" fillId="4" borderId="0" xfId="11" applyNumberFormat="1" applyFont="1" applyFill="1" applyBorder="1" applyAlignment="1">
      <alignment horizontal="right" vertical="center"/>
    </xf>
    <xf numFmtId="0" fontId="17" fillId="0" borderId="0" xfId="15" applyFont="1" applyAlignment="1">
      <alignment horizontal="left" vertical="center"/>
    </xf>
    <xf numFmtId="0" fontId="10" fillId="2" borderId="0" xfId="14" applyFont="1" applyFill="1" applyAlignment="1">
      <alignment horizontal="left" vertical="center" wrapText="1"/>
    </xf>
    <xf numFmtId="0" fontId="11" fillId="2" borderId="5" xfId="15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9">
    <cellStyle name="Cabecera 1" xfId="1"/>
    <cellStyle name="Cabecera 2" xfId="2"/>
    <cellStyle name="Comma0" xfId="3"/>
    <cellStyle name="Currency0" xfId="4"/>
    <cellStyle name="Date" xfId="5"/>
    <cellStyle name="ESTI1 - Modelo1" xfId="6"/>
    <cellStyle name="Euro" xfId="7"/>
    <cellStyle name="Fecha" xfId="8"/>
    <cellStyle name="Fijo" xfId="9"/>
    <cellStyle name="Fixed" xfId="10"/>
    <cellStyle name="Millares 3" xfId="11"/>
    <cellStyle name="Monetario" xfId="12"/>
    <cellStyle name="Monetario0" xfId="13"/>
    <cellStyle name="Normal" xfId="0" builtinId="0"/>
    <cellStyle name="Normal_C1 (2)" xfId="14"/>
    <cellStyle name="Normal_Cuadros tasas trimestrales" xfId="15"/>
    <cellStyle name="Punto" xfId="16"/>
    <cellStyle name="Punto0" xfId="17"/>
    <cellStyle name="Total" xfId="1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OS\series\afiliad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2_DNRMT\ESTUDIOS\PROVI\GRAL\CUADROS\C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_DNRMT\ESTUDIOS\PROVI\GRAL\CUADROS\C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lzeta\Provincia\San%20Luis\cnslui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bsr\pachi\INFORMEC\Cua29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ebione\CONFIG~1\Temp\Indicadores%202005\Cuadro%201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OS\financiero\comunicado%20estad&#237;stico\GENERA%20CUADRO%201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_DNRMT\ESTUDIOS\BEL\PRGS\CUADROS\ESPECI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filiado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  <sheetName val="c3_ fto"/>
      <sheetName val="C3 Base Tran"/>
      <sheetName val="pbg pbgpc "/>
      <sheetName val="pbg1 pbg2 pbg3"/>
      <sheetName val="vab rem"/>
      <sheetName val="ex"/>
      <sheetName val="pre1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st. financiero_san Luis"/>
      <sheetName val="Cuadro E"/>
      <sheetName val="B.1"/>
      <sheetName val="Hoja1"/>
      <sheetName val="expo"/>
      <sheetName val="anotaciones"/>
      <sheetName val="Cuadro A.1"/>
      <sheetName val="Cuadro A.2"/>
      <sheetName val="Cuadro A.3"/>
      <sheetName val="Cuadro A.4"/>
      <sheetName val="Cuadro A.5"/>
      <sheetName val="Cuadro A.6"/>
      <sheetName val="Cuadro A.7"/>
      <sheetName val="Cuadro A.8"/>
      <sheetName val="Cuadro A.9"/>
      <sheetName val="Cuadro A.10"/>
      <sheetName val="Cuadro B.1"/>
      <sheetName val="Cuadro B.2-4.- "/>
      <sheetName val="Cuadro C1.2"/>
      <sheetName val="Cuadro C.3-4"/>
      <sheetName val="Cuadro 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 1"/>
      <sheetName val="cuadro 1"/>
      <sheetName val="cua5.3"/>
      <sheetName val="cua 5.2  5.7 "/>
      <sheetName val="5.4 graf 2"/>
      <sheetName val="cua 5.5"/>
      <sheetName val="cua 5.6"/>
      <sheetName val="hoja6"/>
      <sheetName val="5.8 graf  5.3"/>
      <sheetName val="cua 5.9"/>
      <sheetName val="cuadro 5.9"/>
      <sheetName val="cua 5.10"/>
      <sheetName val="cua5.11"/>
      <sheetName val=" gráf 5.4deuda exportaciones"/>
      <sheetName val="anexo 5.1"/>
      <sheetName val="ANEX5.2"/>
      <sheetName val="anex5.4"/>
      <sheetName val="ANEX5.3"/>
      <sheetName val="APERT"/>
      <sheetName val="Hoja10"/>
      <sheetName val="Hoja11"/>
      <sheetName val="Hoja12"/>
      <sheetName val="Hoja13"/>
      <sheetName val="Hoja14"/>
      <sheetName val="Hoja15"/>
      <sheetName val="Hoja16"/>
      <sheetName val="Módul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"/>
      <sheetName val="C13"/>
    </sheetNames>
    <sheetDataSet>
      <sheetData sheetId="0">
        <row r="1">
          <cell r="A1" t="str">
            <v>ANIOMES</v>
          </cell>
          <cell r="B1" t="str">
            <v>VALOR</v>
          </cell>
          <cell r="C1" t="str">
            <v>COE_ENGEL</v>
          </cell>
        </row>
        <row r="2">
          <cell r="B2" t="str">
            <v>Canasta basica alimentaria</v>
          </cell>
        </row>
        <row r="4">
          <cell r="A4" t="str">
            <v>200201</v>
          </cell>
          <cell r="B4">
            <v>62.41</v>
          </cell>
          <cell r="C4">
            <v>2.4700000000000002</v>
          </cell>
        </row>
        <row r="5">
          <cell r="A5" t="str">
            <v>200202</v>
          </cell>
          <cell r="B5">
            <v>65.819999999999993</v>
          </cell>
          <cell r="C5">
            <v>2.4500000000000002</v>
          </cell>
        </row>
        <row r="6">
          <cell r="A6" t="str">
            <v>200203</v>
          </cell>
          <cell r="B6">
            <v>69.83</v>
          </cell>
          <cell r="C6">
            <v>2.4300000000000002</v>
          </cell>
        </row>
        <row r="7">
          <cell r="A7" t="str">
            <v>200204</v>
          </cell>
          <cell r="B7">
            <v>81.760000000000005</v>
          </cell>
          <cell r="C7">
            <v>2.37</v>
          </cell>
        </row>
        <row r="8">
          <cell r="A8" t="str">
            <v>200205</v>
          </cell>
          <cell r="B8">
            <v>86.2</v>
          </cell>
          <cell r="C8">
            <v>2.35</v>
          </cell>
        </row>
        <row r="9">
          <cell r="A9" t="str">
            <v>200206</v>
          </cell>
          <cell r="B9">
            <v>90.67</v>
          </cell>
          <cell r="C9">
            <v>2.3199999999999998</v>
          </cell>
        </row>
        <row r="10">
          <cell r="A10" t="str">
            <v>200207</v>
          </cell>
          <cell r="B10">
            <v>94.93</v>
          </cell>
          <cell r="C10">
            <v>2.2999999999999998</v>
          </cell>
        </row>
        <row r="11">
          <cell r="A11" t="str">
            <v>200208</v>
          </cell>
          <cell r="B11">
            <v>100.94</v>
          </cell>
          <cell r="C11">
            <v>2.25</v>
          </cell>
        </row>
        <row r="12">
          <cell r="A12" t="str">
            <v>200209</v>
          </cell>
          <cell r="B12">
            <v>104.87</v>
          </cell>
          <cell r="C12">
            <v>2.21</v>
          </cell>
        </row>
        <row r="13">
          <cell r="A13" t="str">
            <v>200210</v>
          </cell>
          <cell r="B13">
            <v>103.74</v>
          </cell>
          <cell r="C13">
            <v>2.2200000000000002</v>
          </cell>
        </row>
        <row r="14">
          <cell r="A14" t="str">
            <v>200211</v>
          </cell>
          <cell r="B14">
            <v>105.08</v>
          </cell>
          <cell r="C14">
            <v>2.21</v>
          </cell>
        </row>
        <row r="15">
          <cell r="A15" t="str">
            <v>200212</v>
          </cell>
          <cell r="B15">
            <v>105.72</v>
          </cell>
          <cell r="C15">
            <v>2.2000000000000002</v>
          </cell>
        </row>
        <row r="16">
          <cell r="A16" t="str">
            <v>200301</v>
          </cell>
          <cell r="B16">
            <v>106.92</v>
          </cell>
          <cell r="C16">
            <v>2.2000000000000002</v>
          </cell>
        </row>
        <row r="17">
          <cell r="A17" t="str">
            <v>200302</v>
          </cell>
          <cell r="B17">
            <v>107.56</v>
          </cell>
          <cell r="C17">
            <v>2.19</v>
          </cell>
        </row>
        <row r="18">
          <cell r="A18" t="str">
            <v>200303</v>
          </cell>
          <cell r="B18">
            <v>107.83</v>
          </cell>
          <cell r="C18">
            <v>2.17</v>
          </cell>
        </row>
        <row r="19">
          <cell r="A19" t="str">
            <v>200304</v>
          </cell>
          <cell r="B19">
            <v>106.55</v>
          </cell>
          <cell r="C19">
            <v>2.1800000000000002</v>
          </cell>
        </row>
        <row r="20">
          <cell r="A20" t="str">
            <v>200305</v>
          </cell>
          <cell r="B20">
            <v>104.6</v>
          </cell>
          <cell r="C20">
            <v>2.19</v>
          </cell>
        </row>
        <row r="21">
          <cell r="A21" t="str">
            <v>200306</v>
          </cell>
          <cell r="B21">
            <v>103.13</v>
          </cell>
          <cell r="C21">
            <v>2.21</v>
          </cell>
        </row>
        <row r="22">
          <cell r="A22" t="str">
            <v>200307</v>
          </cell>
          <cell r="B22">
            <v>102.31</v>
          </cell>
          <cell r="C22">
            <v>2.2200000000000002</v>
          </cell>
        </row>
        <row r="23">
          <cell r="A23" t="str">
            <v>200308</v>
          </cell>
          <cell r="B23">
            <v>102.08</v>
          </cell>
          <cell r="C23">
            <v>2.21</v>
          </cell>
        </row>
        <row r="24">
          <cell r="A24" t="str">
            <v>200309</v>
          </cell>
          <cell r="B24">
            <v>101.99</v>
          </cell>
          <cell r="C24">
            <v>2.2000000000000002</v>
          </cell>
        </row>
        <row r="25">
          <cell r="A25" t="str">
            <v>200310</v>
          </cell>
          <cell r="B25">
            <v>104.12</v>
          </cell>
          <cell r="C25">
            <v>2.19</v>
          </cell>
        </row>
        <row r="26">
          <cell r="A26" t="str">
            <v>200311</v>
          </cell>
          <cell r="B26">
            <v>105.24</v>
          </cell>
          <cell r="C26">
            <v>2.1800000000000002</v>
          </cell>
        </row>
        <row r="27">
          <cell r="A27" t="str">
            <v>200312</v>
          </cell>
          <cell r="B27">
            <v>105.76</v>
          </cell>
          <cell r="C27">
            <v>2.19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 CUADRO 16"/>
    </sheetNames>
    <definedNames>
      <definedName name="BORRA_CUADROS"/>
      <definedName name="TRANSFERENCIA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F42" t="str">
            <v>AFILIACIÓN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F43" t="str">
            <v>TOTAL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 66"/>
      <sheetName val="Varones"/>
      <sheetName val="Mujeres"/>
      <sheetName val="cua 65"/>
      <sheetName val="Tablita"/>
      <sheetName val="TD"/>
      <sheetName val="DATOS"/>
    </sheetNames>
    <sheetDataSet>
      <sheetData sheetId="0"/>
      <sheetData sheetId="1">
        <row r="77">
          <cell r="B77" t="str">
            <v>aglocuadro</v>
          </cell>
          <cell r="C77" t="str">
            <v>Mayo</v>
          </cell>
          <cell r="D77" t="str">
            <v>Octubre</v>
          </cell>
          <cell r="E77" t="str">
            <v>Junio</v>
          </cell>
          <cell r="F77" t="str">
            <v>Octubre</v>
          </cell>
          <cell r="G77" t="str">
            <v>Mayo</v>
          </cell>
          <cell r="H77" t="str">
            <v>Octubre</v>
          </cell>
          <cell r="I77" t="str">
            <v>Mayo</v>
          </cell>
          <cell r="J77" t="str">
            <v>Octubre</v>
          </cell>
          <cell r="K77" t="str">
            <v>Mayo</v>
          </cell>
          <cell r="L77" t="str">
            <v>Octubre</v>
          </cell>
          <cell r="M77" t="str">
            <v>Mayo</v>
          </cell>
          <cell r="N77" t="str">
            <v>Octubre</v>
          </cell>
          <cell r="O77" t="str">
            <v>Abril</v>
          </cell>
          <cell r="P77" t="str">
            <v>Octubre</v>
          </cell>
          <cell r="Q77" t="str">
            <v>Mayo</v>
          </cell>
          <cell r="R77" t="str">
            <v>Octubre</v>
          </cell>
          <cell r="S77" t="str">
            <v>Mayo</v>
          </cell>
          <cell r="T77" t="str">
            <v>Agosto</v>
          </cell>
          <cell r="U77" t="str">
            <v>Octubre</v>
          </cell>
          <cell r="V77" t="str">
            <v>Mayo</v>
          </cell>
        </row>
        <row r="78">
          <cell r="B78" t="str">
            <v>Total aglomerados urbanos</v>
          </cell>
          <cell r="C78">
            <v>40.217922194293912</v>
          </cell>
          <cell r="D78">
            <v>43.82994176040534</v>
          </cell>
          <cell r="E78">
            <v>42.017258935320612</v>
          </cell>
          <cell r="F78">
            <v>44.44812722347784</v>
          </cell>
          <cell r="G78">
            <v>44.072984231844956</v>
          </cell>
          <cell r="H78">
            <v>44.773963520782239</v>
          </cell>
          <cell r="I78">
            <v>45.945446052844332</v>
          </cell>
          <cell r="J78">
            <v>46.469759528076906</v>
          </cell>
          <cell r="K78">
            <v>45.85851872275807</v>
          </cell>
          <cell r="L78">
            <v>43.602998656225203</v>
          </cell>
          <cell r="M78">
            <v>41.129391708083581</v>
          </cell>
          <cell r="N78">
            <v>41.099927307953948</v>
          </cell>
          <cell r="O78">
            <v>41.674297106691775</v>
          </cell>
          <cell r="P78">
            <v>41.613967761967679</v>
          </cell>
          <cell r="Q78">
            <v>42.825515510024928</v>
          </cell>
          <cell r="R78">
            <v>44.193791283475299</v>
          </cell>
          <cell r="S78">
            <v>45.212387123463685</v>
          </cell>
          <cell r="T78">
            <v>44.499204994054438</v>
          </cell>
          <cell r="U78">
            <v>44.685519383992869</v>
          </cell>
          <cell r="V78">
            <v>42.909900595558284</v>
          </cell>
        </row>
        <row r="79">
          <cell r="B79" t="str">
            <v>Capital Federal</v>
          </cell>
          <cell r="C79">
            <v>44.16382963118933</v>
          </cell>
          <cell r="D79">
            <v>46.578351767159958</v>
          </cell>
          <cell r="E79">
            <v>43.736013385594838</v>
          </cell>
          <cell r="F79">
            <v>46.385318624970481</v>
          </cell>
          <cell r="G79">
            <v>41.349899745757227</v>
          </cell>
          <cell r="H79">
            <v>44.615884941838431</v>
          </cell>
          <cell r="I79">
            <v>47.926108009550376</v>
          </cell>
          <cell r="J79">
            <v>47.377189361325705</v>
          </cell>
          <cell r="K79">
            <v>50.111471258609583</v>
          </cell>
          <cell r="L79">
            <v>45.17848341630593</v>
          </cell>
          <cell r="M79">
            <v>44.40459304550145</v>
          </cell>
          <cell r="N79">
            <v>48.229720466521307</v>
          </cell>
          <cell r="O79">
            <v>47.698797686089904</v>
          </cell>
          <cell r="P79">
            <v>50.19509977960157</v>
          </cell>
          <cell r="Q79">
            <v>49.903101379013812</v>
          </cell>
          <cell r="R79">
            <v>49.04876288146562</v>
          </cell>
          <cell r="S79">
            <v>49.942785615954065</v>
          </cell>
          <cell r="T79">
            <v>49.042511563018756</v>
          </cell>
          <cell r="U79">
            <v>51.280469755350197</v>
          </cell>
          <cell r="V79">
            <v>47.702331877793277</v>
          </cell>
        </row>
        <row r="80">
          <cell r="B80" t="str">
            <v>Partidos del Conurbano</v>
          </cell>
          <cell r="C80">
            <v>40.512871412460591</v>
          </cell>
          <cell r="D80">
            <v>46.430602642081141</v>
          </cell>
          <cell r="E80">
            <v>44.154435272053952</v>
          </cell>
          <cell r="F80">
            <v>46.066638279753036</v>
          </cell>
          <cell r="G80">
            <v>45.848401670616553</v>
          </cell>
          <cell r="H80">
            <v>44.709194240418555</v>
          </cell>
          <cell r="I80">
            <v>47.131410690609172</v>
          </cell>
          <cell r="J80">
            <v>48.30430239694293</v>
          </cell>
          <cell r="K80">
            <v>46.054801017791405</v>
          </cell>
          <cell r="L80">
            <v>43.161077845098433</v>
          </cell>
          <cell r="M80">
            <v>41.457394673973809</v>
          </cell>
          <cell r="N80">
            <v>39.828327624499224</v>
          </cell>
          <cell r="O80">
            <v>40.629770730200626</v>
          </cell>
          <cell r="P80">
            <v>38.76873265774308</v>
          </cell>
          <cell r="Q80">
            <v>41.730868294584532</v>
          </cell>
          <cell r="R80">
            <v>43.004128719136418</v>
          </cell>
          <cell r="S80">
            <v>43.835823335565664</v>
          </cell>
          <cell r="T80">
            <v>43.254722562488666</v>
          </cell>
          <cell r="U80">
            <v>41.575240814407806</v>
          </cell>
          <cell r="V80">
            <v>40.771831917488271</v>
          </cell>
        </row>
        <row r="81">
          <cell r="B81" t="str">
            <v>Gran Buenos Aires</v>
          </cell>
          <cell r="C81">
            <v>41.565918937343184</v>
          </cell>
          <cell r="D81">
            <v>46.472216249210987</v>
          </cell>
          <cell r="E81">
            <v>44.037261510996231</v>
          </cell>
          <cell r="F81">
            <v>46.153328486608459</v>
          </cell>
          <cell r="G81">
            <v>44.645665494392205</v>
          </cell>
          <cell r="H81">
            <v>44.683864677477253</v>
          </cell>
          <cell r="I81">
            <v>47.344266982043429</v>
          </cell>
          <cell r="J81">
            <v>48.062028445757214</v>
          </cell>
          <cell r="K81">
            <v>47.101844573131274</v>
          </cell>
          <cell r="L81">
            <v>43.67745649590141</v>
          </cell>
          <cell r="M81">
            <v>42.195401750055169</v>
          </cell>
          <cell r="N81">
            <v>42.039491391333428</v>
          </cell>
          <cell r="O81">
            <v>42.517790271295546</v>
          </cell>
          <cell r="P81">
            <v>41.744795505701155</v>
          </cell>
          <cell r="Q81">
            <v>43.797680930653598</v>
          </cell>
          <cell r="R81">
            <v>44.522959578570124</v>
          </cell>
          <cell r="S81">
            <v>45.358500885833394</v>
          </cell>
          <cell r="T81">
            <v>44.756029288085671</v>
          </cell>
          <cell r="U81">
            <v>44.041584177113599</v>
          </cell>
          <cell r="V81">
            <v>42.523934898558529</v>
          </cell>
        </row>
        <row r="82">
          <cell r="B82" t="str">
            <v>Bahía Blanca</v>
          </cell>
          <cell r="C82">
            <v>43.410921979478474</v>
          </cell>
          <cell r="D82">
            <v>46.579634464751955</v>
          </cell>
          <cell r="E82">
            <v>37.936762087180334</v>
          </cell>
          <cell r="F82">
            <v>43.172930535239857</v>
          </cell>
          <cell r="G82">
            <v>43.652695491098335</v>
          </cell>
          <cell r="H82">
            <v>43.752624947501047</v>
          </cell>
          <cell r="I82">
            <v>44.605839630685992</v>
          </cell>
          <cell r="J82">
            <v>45.436194862609639</v>
          </cell>
          <cell r="K82">
            <v>42.559970014992501</v>
          </cell>
          <cell r="L82">
            <v>39.384343853820596</v>
          </cell>
          <cell r="M82">
            <v>38.672581337565532</v>
          </cell>
          <cell r="N82">
            <v>37.936195689360247</v>
          </cell>
          <cell r="O82">
            <v>43.431642593214647</v>
          </cell>
          <cell r="P82">
            <v>43.214400156038842</v>
          </cell>
          <cell r="Q82">
            <v>43.214400156038842</v>
          </cell>
          <cell r="R82">
            <v>48.548708870718485</v>
          </cell>
          <cell r="S82">
            <v>51.866460254425526</v>
          </cell>
          <cell r="T82">
            <v>47.375863601470648</v>
          </cell>
          <cell r="U82">
            <v>51.182072679052204</v>
          </cell>
          <cell r="V82" t="str">
            <v>...</v>
          </cell>
        </row>
        <row r="83">
          <cell r="B83" t="str">
            <v>Gran La Plata</v>
          </cell>
          <cell r="C83">
            <v>36.191593770002136</v>
          </cell>
          <cell r="D83">
            <v>36.611422707656843</v>
          </cell>
          <cell r="E83">
            <v>43.594886430891847</v>
          </cell>
          <cell r="F83">
            <v>46.748455177573952</v>
          </cell>
          <cell r="G83">
            <v>47.725495224052821</v>
          </cell>
          <cell r="H83">
            <v>50.591818919892319</v>
          </cell>
          <cell r="I83">
            <v>44.454325619925321</v>
          </cell>
          <cell r="J83">
            <v>45.604926047403922</v>
          </cell>
          <cell r="K83">
            <v>47.877143759638791</v>
          </cell>
          <cell r="L83">
            <v>41.087035742662387</v>
          </cell>
          <cell r="M83">
            <v>39.781774217923534</v>
          </cell>
          <cell r="N83">
            <v>40.622187320668097</v>
          </cell>
          <cell r="O83">
            <v>38.654151815817364</v>
          </cell>
          <cell r="P83">
            <v>42.132769535936141</v>
          </cell>
          <cell r="Q83">
            <v>42.132769535936141</v>
          </cell>
          <cell r="R83">
            <v>45.909272864274278</v>
          </cell>
          <cell r="S83">
            <v>48.107567456979837</v>
          </cell>
          <cell r="T83">
            <v>45.324804272899499</v>
          </cell>
          <cell r="U83">
            <v>48.067055360707315</v>
          </cell>
          <cell r="V83" t="str">
            <v>...</v>
          </cell>
        </row>
        <row r="84">
          <cell r="B84" t="str">
            <v>Mar del Plata y Batán</v>
          </cell>
          <cell r="C84" t="str">
            <v>...</v>
          </cell>
          <cell r="D84" t="str">
            <v>...</v>
          </cell>
          <cell r="E84" t="str">
            <v>...</v>
          </cell>
          <cell r="F84" t="str">
            <v>...</v>
          </cell>
          <cell r="G84" t="str">
            <v>...</v>
          </cell>
          <cell r="H84" t="str">
            <v>...</v>
          </cell>
          <cell r="I84" t="str">
            <v>...</v>
          </cell>
          <cell r="J84" t="str">
            <v>...</v>
          </cell>
          <cell r="K84" t="str">
            <v>...</v>
          </cell>
          <cell r="L84" t="str">
            <v>...</v>
          </cell>
          <cell r="M84" t="str">
            <v>...</v>
          </cell>
          <cell r="N84">
            <v>40.767821979868081</v>
          </cell>
          <cell r="O84">
            <v>46.697730187519447</v>
          </cell>
          <cell r="P84">
            <v>47.183602779236189</v>
          </cell>
          <cell r="Q84">
            <v>39.768689562116485</v>
          </cell>
          <cell r="R84">
            <v>42.586382854643531</v>
          </cell>
          <cell r="S84">
            <v>46.858466643709107</v>
          </cell>
          <cell r="T84">
            <v>48.455571610812513</v>
          </cell>
          <cell r="U84">
            <v>54.111647741869184</v>
          </cell>
          <cell r="V84" t="str">
            <v>...</v>
          </cell>
        </row>
        <row r="85">
          <cell r="B85" t="str">
            <v>Gran Catamarca</v>
          </cell>
          <cell r="C85">
            <v>37.847939844334022</v>
          </cell>
          <cell r="D85">
            <v>37.436110533970499</v>
          </cell>
          <cell r="E85">
            <v>36.607843137254903</v>
          </cell>
          <cell r="F85">
            <v>41.31047346906378</v>
          </cell>
          <cell r="G85">
            <v>40.799712678079729</v>
          </cell>
          <cell r="H85">
            <v>42.733690829829094</v>
          </cell>
          <cell r="I85">
            <v>47.153926389509756</v>
          </cell>
          <cell r="J85">
            <v>48.144642180992051</v>
          </cell>
          <cell r="K85">
            <v>41.972602739726028</v>
          </cell>
          <cell r="L85">
            <v>44.495707748742582</v>
          </cell>
          <cell r="M85">
            <v>42.110523004034498</v>
          </cell>
          <cell r="N85">
            <v>40.40681693238043</v>
          </cell>
          <cell r="O85">
            <v>43.149158006653629</v>
          </cell>
          <cell r="P85">
            <v>42.742064380014703</v>
          </cell>
          <cell r="Q85">
            <v>40.443005724904836</v>
          </cell>
          <cell r="R85">
            <v>44.054647173368778</v>
          </cell>
          <cell r="S85">
            <v>42.86909122371874</v>
          </cell>
          <cell r="T85">
            <v>45.709019698191447</v>
          </cell>
          <cell r="U85">
            <v>44.033677974933497</v>
          </cell>
          <cell r="V85">
            <v>45.850280312190833</v>
          </cell>
        </row>
        <row r="86">
          <cell r="B86" t="str">
            <v>Gran Córdoba</v>
          </cell>
          <cell r="C86">
            <v>37.570727050020537</v>
          </cell>
          <cell r="D86">
            <v>41.597172627222619</v>
          </cell>
          <cell r="E86">
            <v>39.66884922414566</v>
          </cell>
          <cell r="F86">
            <v>42.071408128219808</v>
          </cell>
          <cell r="G86">
            <v>46.448634144444483</v>
          </cell>
          <cell r="H86">
            <v>47.046042950049845</v>
          </cell>
          <cell r="I86">
            <v>47.306251800633824</v>
          </cell>
          <cell r="J86">
            <v>45.31591442033352</v>
          </cell>
          <cell r="K86">
            <v>45.604149589105262</v>
          </cell>
          <cell r="L86">
            <v>47.293972731610417</v>
          </cell>
          <cell r="M86">
            <v>42.675187809061079</v>
          </cell>
          <cell r="N86">
            <v>38.707727873183615</v>
          </cell>
          <cell r="O86">
            <v>39.027273383987968</v>
          </cell>
          <cell r="P86" t="str">
            <v>...</v>
          </cell>
          <cell r="Q86">
            <v>41.426736456761184</v>
          </cell>
          <cell r="R86">
            <v>38.409146490584497</v>
          </cell>
          <cell r="S86">
            <v>41.838676897618129</v>
          </cell>
          <cell r="T86">
            <v>42.927181409065078</v>
          </cell>
          <cell r="U86">
            <v>42.445271231206824</v>
          </cell>
          <cell r="V86">
            <v>44.07741568939857</v>
          </cell>
        </row>
        <row r="87">
          <cell r="B87" t="str">
            <v>Río Cuarto</v>
          </cell>
          <cell r="C87" t="str">
            <v>...</v>
          </cell>
          <cell r="D87" t="str">
            <v>...</v>
          </cell>
          <cell r="E87" t="str">
            <v>...</v>
          </cell>
          <cell r="F87" t="str">
            <v>...</v>
          </cell>
          <cell r="G87" t="str">
            <v>...</v>
          </cell>
          <cell r="H87" t="str">
            <v>...</v>
          </cell>
          <cell r="I87" t="str">
            <v>...</v>
          </cell>
          <cell r="J87" t="str">
            <v>...</v>
          </cell>
          <cell r="K87" t="str">
            <v>...</v>
          </cell>
          <cell r="L87" t="str">
            <v>...</v>
          </cell>
          <cell r="M87" t="str">
            <v>...</v>
          </cell>
          <cell r="N87">
            <v>45.2181505634533</v>
          </cell>
          <cell r="O87">
            <v>38.827422939414433</v>
          </cell>
          <cell r="P87">
            <v>41.809082947579128</v>
          </cell>
          <cell r="Q87">
            <v>39.979479286905217</v>
          </cell>
          <cell r="R87">
            <v>39.75903614457831</v>
          </cell>
          <cell r="S87">
            <v>42.432499999999997</v>
          </cell>
          <cell r="T87">
            <v>47.711466165413533</v>
          </cell>
          <cell r="U87">
            <v>43.728899606549057</v>
          </cell>
          <cell r="V87" t="str">
            <v>...</v>
          </cell>
        </row>
        <row r="88">
          <cell r="B88" t="str">
            <v>Corrientes</v>
          </cell>
          <cell r="C88">
            <v>31.581445523193096</v>
          </cell>
          <cell r="D88">
            <v>35.421324161650901</v>
          </cell>
          <cell r="E88">
            <v>30.744859554742821</v>
          </cell>
          <cell r="F88">
            <v>33.945213831547775</v>
          </cell>
          <cell r="G88" t="str">
            <v>...</v>
          </cell>
          <cell r="H88">
            <v>29.546785846006983</v>
          </cell>
          <cell r="I88">
            <v>31.702293717209386</v>
          </cell>
          <cell r="J88">
            <v>34.403146268900031</v>
          </cell>
          <cell r="K88">
            <v>40.660258237953641</v>
          </cell>
          <cell r="L88">
            <v>41.7861367874401</v>
          </cell>
          <cell r="M88">
            <v>40.73321363035457</v>
          </cell>
          <cell r="N88">
            <v>37.781215063479181</v>
          </cell>
          <cell r="O88">
            <v>39.899503411284499</v>
          </cell>
          <cell r="P88">
            <v>40.247293822139824</v>
          </cell>
          <cell r="Q88">
            <v>42.711142861308332</v>
          </cell>
          <cell r="R88">
            <v>44.340245117996382</v>
          </cell>
          <cell r="S88">
            <v>46.730588300404008</v>
          </cell>
          <cell r="T88">
            <v>37.74610886698116</v>
          </cell>
          <cell r="U88">
            <v>45.920912486012057</v>
          </cell>
          <cell r="V88" t="str">
            <v>...</v>
          </cell>
        </row>
        <row r="89">
          <cell r="B89" t="str">
            <v xml:space="preserve">Gran Resistencia </v>
          </cell>
          <cell r="C89">
            <v>36.396933144503592</v>
          </cell>
          <cell r="D89">
            <v>37.336748966666143</v>
          </cell>
          <cell r="E89">
            <v>40.622208290886299</v>
          </cell>
          <cell r="F89">
            <v>37.940981745956684</v>
          </cell>
          <cell r="G89">
            <v>39.786056113352721</v>
          </cell>
          <cell r="H89">
            <v>40.835156033393922</v>
          </cell>
          <cell r="I89">
            <v>40.413504723555832</v>
          </cell>
          <cell r="J89">
            <v>39.257115734999161</v>
          </cell>
          <cell r="K89">
            <v>42.596048759983184</v>
          </cell>
          <cell r="L89">
            <v>44.514320983535455</v>
          </cell>
          <cell r="M89">
            <v>43.053245948677819</v>
          </cell>
          <cell r="N89">
            <v>40.835930495666652</v>
          </cell>
          <cell r="O89">
            <v>42.864590478803677</v>
          </cell>
          <cell r="P89">
            <v>44.866649945656718</v>
          </cell>
          <cell r="Q89">
            <v>41.425887443422816</v>
          </cell>
          <cell r="R89">
            <v>47.23493568043331</v>
          </cell>
          <cell r="S89">
            <v>47.039508809396693</v>
          </cell>
          <cell r="T89">
            <v>46.864163929707026</v>
          </cell>
          <cell r="U89">
            <v>44.618612688225127</v>
          </cell>
          <cell r="V89">
            <v>42.003567961801821</v>
          </cell>
        </row>
        <row r="90">
          <cell r="B90" t="str">
            <v>Comodoro Rivadavia</v>
          </cell>
          <cell r="C90" t="str">
            <v>...</v>
          </cell>
          <cell r="D90" t="str">
            <v>...</v>
          </cell>
          <cell r="E90">
            <v>50.365963808515282</v>
          </cell>
          <cell r="F90" t="str">
            <v>...</v>
          </cell>
          <cell r="G90">
            <v>46.87833827893175</v>
          </cell>
          <cell r="H90">
            <v>51.71102661596958</v>
          </cell>
          <cell r="I90">
            <v>49.892061175468996</v>
          </cell>
          <cell r="J90">
            <v>58.118178163940506</v>
          </cell>
          <cell r="K90">
            <v>52.461190655614168</v>
          </cell>
          <cell r="L90">
            <v>54.682798395185564</v>
          </cell>
          <cell r="M90">
            <v>52.039825918156488</v>
          </cell>
          <cell r="N90">
            <v>51.705313077283634</v>
          </cell>
          <cell r="O90">
            <v>52.888066707162182</v>
          </cell>
          <cell r="P90">
            <v>56.050460681379896</v>
          </cell>
          <cell r="Q90">
            <v>55.464649998654359</v>
          </cell>
          <cell r="R90">
            <v>56.115417743324727</v>
          </cell>
          <cell r="S90">
            <v>54.232625733118802</v>
          </cell>
          <cell r="T90">
            <v>54.894994473393332</v>
          </cell>
          <cell r="U90">
            <v>50.696408559688358</v>
          </cell>
          <cell r="V90" t="str">
            <v>...</v>
          </cell>
        </row>
        <row r="91">
          <cell r="B91" t="str">
            <v>Paraná</v>
          </cell>
          <cell r="C91">
            <v>31.807074565253497</v>
          </cell>
          <cell r="D91">
            <v>32.970990029932707</v>
          </cell>
          <cell r="E91">
            <v>35.333090332125472</v>
          </cell>
          <cell r="F91">
            <v>35.0391678438423</v>
          </cell>
          <cell r="G91">
            <v>34.828996124196088</v>
          </cell>
          <cell r="H91">
            <v>41.953913941770502</v>
          </cell>
          <cell r="I91">
            <v>40.33013419577042</v>
          </cell>
          <cell r="J91">
            <v>38.237286604642762</v>
          </cell>
          <cell r="K91">
            <v>39.492301290054101</v>
          </cell>
          <cell r="L91">
            <v>41.697923337297595</v>
          </cell>
          <cell r="M91">
            <v>40.276080561212943</v>
          </cell>
          <cell r="N91">
            <v>41.510813280536098</v>
          </cell>
          <cell r="O91">
            <v>41.136045150020159</v>
          </cell>
          <cell r="P91">
            <v>39.641090963584595</v>
          </cell>
          <cell r="Q91">
            <v>39.781526286893474</v>
          </cell>
          <cell r="R91">
            <v>40.616868934343721</v>
          </cell>
          <cell r="S91">
            <v>40.932584687465138</v>
          </cell>
          <cell r="T91">
            <v>43.236478207596704</v>
          </cell>
          <cell r="U91">
            <v>45.830268047460052</v>
          </cell>
          <cell r="V91">
            <v>45.917054856427725</v>
          </cell>
        </row>
        <row r="92">
          <cell r="B92" t="str">
            <v>Concordia</v>
          </cell>
          <cell r="C92" t="str">
            <v>...</v>
          </cell>
          <cell r="D92" t="str">
            <v>...</v>
          </cell>
          <cell r="E92" t="str">
            <v>...</v>
          </cell>
          <cell r="F92" t="str">
            <v>...</v>
          </cell>
          <cell r="G92" t="str">
            <v>...</v>
          </cell>
          <cell r="H92" t="str">
            <v>...</v>
          </cell>
          <cell r="I92" t="str">
            <v>...</v>
          </cell>
          <cell r="J92" t="str">
            <v>...</v>
          </cell>
          <cell r="K92" t="str">
            <v>...</v>
          </cell>
          <cell r="L92" t="str">
            <v>...</v>
          </cell>
          <cell r="M92" t="str">
            <v>...</v>
          </cell>
          <cell r="N92">
            <v>43.688064021794652</v>
          </cell>
          <cell r="O92">
            <v>44.495250248121366</v>
          </cell>
          <cell r="P92">
            <v>42.722077922077922</v>
          </cell>
          <cell r="Q92">
            <v>43.974549604066532</v>
          </cell>
          <cell r="R92">
            <v>50.667388167388175</v>
          </cell>
          <cell r="S92">
            <v>52.314008868451303</v>
          </cell>
          <cell r="T92">
            <v>51.488114835056301</v>
          </cell>
          <cell r="U92">
            <v>52.824769599798003</v>
          </cell>
          <cell r="V92" t="str">
            <v>...</v>
          </cell>
        </row>
        <row r="93">
          <cell r="B93" t="str">
            <v>Formosa</v>
          </cell>
          <cell r="C93" t="str">
            <v>...</v>
          </cell>
          <cell r="D93">
            <v>36.968013011656275</v>
          </cell>
          <cell r="E93">
            <v>26.649305555555557</v>
          </cell>
          <cell r="F93">
            <v>34.567134923227705</v>
          </cell>
          <cell r="G93">
            <v>36.017938895636739</v>
          </cell>
          <cell r="H93">
            <v>33.754439075507946</v>
          </cell>
          <cell r="I93">
            <v>37.337996297058218</v>
          </cell>
          <cell r="J93">
            <v>37.093820158336285</v>
          </cell>
          <cell r="K93">
            <v>40.258625791560632</v>
          </cell>
          <cell r="L93">
            <v>37.497996045529845</v>
          </cell>
          <cell r="M93">
            <v>32.348588177254129</v>
          </cell>
          <cell r="N93">
            <v>34.956376515304214</v>
          </cell>
          <cell r="O93">
            <v>34.275733203347144</v>
          </cell>
          <cell r="P93">
            <v>38.055728223561523</v>
          </cell>
          <cell r="Q93">
            <v>45.780871197309772</v>
          </cell>
          <cell r="R93">
            <v>56.538303874996984</v>
          </cell>
          <cell r="S93">
            <v>52.528809218950066</v>
          </cell>
          <cell r="T93">
            <v>45.588710278516238</v>
          </cell>
          <cell r="U93">
            <v>51.178774843190503</v>
          </cell>
          <cell r="V93" t="str">
            <v>...</v>
          </cell>
        </row>
        <row r="94">
          <cell r="B94" t="str">
            <v xml:space="preserve">S.S. de Jujuy </v>
          </cell>
          <cell r="C94">
            <v>39.290478913120424</v>
          </cell>
          <cell r="D94">
            <v>41.34082655144077</v>
          </cell>
          <cell r="E94">
            <v>41.181208053691279</v>
          </cell>
          <cell r="F94">
            <v>38.886310904872389</v>
          </cell>
          <cell r="G94">
            <v>39.2189552389613</v>
          </cell>
          <cell r="H94">
            <v>40.871012922491481</v>
          </cell>
          <cell r="I94">
            <v>36.632761499924094</v>
          </cell>
          <cell r="J94">
            <v>43.653242677824267</v>
          </cell>
          <cell r="K94">
            <v>41.500090273658145</v>
          </cell>
          <cell r="L94">
            <v>40.301167475978922</v>
          </cell>
          <cell r="M94">
            <v>34.33625680141121</v>
          </cell>
          <cell r="N94">
            <v>40.185825675869268</v>
          </cell>
          <cell r="O94">
            <v>41.189511021028629</v>
          </cell>
          <cell r="P94">
            <v>42.562146248419133</v>
          </cell>
          <cell r="Q94">
            <v>37.736397457758486</v>
          </cell>
          <cell r="R94">
            <v>35.005945731685344</v>
          </cell>
          <cell r="S94">
            <v>42.833459473096191</v>
          </cell>
          <cell r="T94">
            <v>40.163592505939747</v>
          </cell>
          <cell r="U94">
            <v>42.805538832028901</v>
          </cell>
          <cell r="V94">
            <v>40.311373197115387</v>
          </cell>
        </row>
        <row r="95">
          <cell r="B95" t="str">
            <v xml:space="preserve">Santa Rosa y Toay </v>
          </cell>
          <cell r="C95">
            <v>49.717188645647845</v>
          </cell>
          <cell r="D95">
            <v>47.506647132237234</v>
          </cell>
          <cell r="E95">
            <v>41.169876694181191</v>
          </cell>
          <cell r="F95">
            <v>40.654699049630409</v>
          </cell>
          <cell r="G95">
            <v>44.26654695994813</v>
          </cell>
          <cell r="H95">
            <v>46.1825868934664</v>
          </cell>
          <cell r="I95">
            <v>47.624593584704229</v>
          </cell>
          <cell r="J95">
            <v>50.821852731591441</v>
          </cell>
          <cell r="K95">
            <v>50.675706840090406</v>
          </cell>
          <cell r="L95">
            <v>46.494360902255636</v>
          </cell>
          <cell r="M95">
            <v>44.351099481246841</v>
          </cell>
          <cell r="N95">
            <v>45.833680874134622</v>
          </cell>
          <cell r="O95">
            <v>48.235191713452586</v>
          </cell>
          <cell r="P95">
            <v>49.857142857142854</v>
          </cell>
          <cell r="Q95">
            <v>48.869188337273442</v>
          </cell>
          <cell r="R95">
            <v>47.846147726820732</v>
          </cell>
          <cell r="S95">
            <v>47.759433962264154</v>
          </cell>
          <cell r="T95">
            <v>46.282790484554582</v>
          </cell>
          <cell r="U95">
            <v>46.8107948025025</v>
          </cell>
          <cell r="V95">
            <v>43.69938807665531</v>
          </cell>
        </row>
        <row r="96">
          <cell r="B96" t="str">
            <v>La Rioja</v>
          </cell>
          <cell r="C96">
            <v>33.141542002301492</v>
          </cell>
          <cell r="D96">
            <v>33.629054616024398</v>
          </cell>
          <cell r="E96">
            <v>34.864567275930412</v>
          </cell>
          <cell r="F96">
            <v>39.461981164980813</v>
          </cell>
          <cell r="G96">
            <v>32.911168968712765</v>
          </cell>
          <cell r="H96">
            <v>37.744281833318723</v>
          </cell>
          <cell r="I96">
            <v>39.968022462270405</v>
          </cell>
          <cell r="J96">
            <v>36.605504587155963</v>
          </cell>
          <cell r="K96">
            <v>37.694198009079926</v>
          </cell>
          <cell r="L96">
            <v>38.121278405638598</v>
          </cell>
          <cell r="M96">
            <v>34.831024715787841</v>
          </cell>
          <cell r="N96">
            <v>36.538532550496662</v>
          </cell>
          <cell r="O96">
            <v>35.042061929479146</v>
          </cell>
          <cell r="P96">
            <v>40.32492022048158</v>
          </cell>
          <cell r="Q96">
            <v>42.722904431393488</v>
          </cell>
          <cell r="R96">
            <v>43.164362519201227</v>
          </cell>
          <cell r="S96">
            <v>42.898370117731936</v>
          </cell>
          <cell r="T96">
            <v>41.286307053941904</v>
          </cell>
          <cell r="U96">
            <v>41.867291075786554</v>
          </cell>
          <cell r="V96">
            <v>43.11575011684063</v>
          </cell>
        </row>
        <row r="97">
          <cell r="B97" t="str">
            <v>Gran Mendoza</v>
          </cell>
          <cell r="C97">
            <v>41.328815939076222</v>
          </cell>
          <cell r="D97">
            <v>40.865742861244605</v>
          </cell>
          <cell r="E97">
            <v>44.78636945321032</v>
          </cell>
          <cell r="F97">
            <v>49.516648764769066</v>
          </cell>
          <cell r="G97">
            <v>50.315789473684212</v>
          </cell>
          <cell r="H97">
            <v>51.460221550855991</v>
          </cell>
          <cell r="I97">
            <v>52.380952380952387</v>
          </cell>
          <cell r="J97">
            <v>54.270270270270274</v>
          </cell>
          <cell r="K97">
            <v>51.179487179487182</v>
          </cell>
          <cell r="L97">
            <v>52.526315789473685</v>
          </cell>
          <cell r="M97">
            <v>48.992576882290564</v>
          </cell>
          <cell r="N97">
            <v>43.036649214659683</v>
          </cell>
          <cell r="O97">
            <v>47.274633123689732</v>
          </cell>
          <cell r="P97">
            <v>47.028154327424396</v>
          </cell>
          <cell r="Q97">
            <v>47.770700636942678</v>
          </cell>
          <cell r="R97">
            <v>50.883002207505527</v>
          </cell>
          <cell r="S97">
            <v>49.401778304682871</v>
          </cell>
          <cell r="T97" t="str">
            <v>...</v>
          </cell>
          <cell r="U97">
            <v>53.550231029390751</v>
          </cell>
          <cell r="V97">
            <v>49.721485791947018</v>
          </cell>
        </row>
        <row r="98">
          <cell r="B98" t="str">
            <v>Posadas</v>
          </cell>
          <cell r="C98" t="str">
            <v>...</v>
          </cell>
          <cell r="D98">
            <v>42.822804601992956</v>
          </cell>
          <cell r="E98">
            <v>45.68182310978122</v>
          </cell>
          <cell r="F98">
            <v>42.985111509235807</v>
          </cell>
          <cell r="G98">
            <v>38.844975687080954</v>
          </cell>
          <cell r="H98">
            <v>46.646499071397116</v>
          </cell>
          <cell r="I98">
            <v>41.151735711726658</v>
          </cell>
          <cell r="J98">
            <v>42.880174838328287</v>
          </cell>
          <cell r="K98">
            <v>42.060816933057879</v>
          </cell>
          <cell r="L98">
            <v>44.474156433623023</v>
          </cell>
          <cell r="M98">
            <v>39.42307692307692</v>
          </cell>
          <cell r="N98">
            <v>43.052225008695018</v>
          </cell>
          <cell r="O98">
            <v>47.363014326857815</v>
          </cell>
          <cell r="P98">
            <v>42.888279419510688</v>
          </cell>
          <cell r="Q98">
            <v>45.837377332039253</v>
          </cell>
          <cell r="R98">
            <v>50.828883472565913</v>
          </cell>
          <cell r="S98">
            <v>52.037939898945126</v>
          </cell>
          <cell r="T98">
            <v>48.303944606884677</v>
          </cell>
          <cell r="U98">
            <v>48.997462823313839</v>
          </cell>
          <cell r="V98">
            <v>48.279355824949342</v>
          </cell>
        </row>
        <row r="99">
          <cell r="B99" t="str">
            <v>Neuquén y Plottier</v>
          </cell>
          <cell r="C99">
            <v>48.827593037363506</v>
          </cell>
          <cell r="D99">
            <v>47.479727700470519</v>
          </cell>
          <cell r="E99">
            <v>46.116493184932331</v>
          </cell>
          <cell r="F99">
            <v>45.6334212590005</v>
          </cell>
          <cell r="G99">
            <v>46.265455158950139</v>
          </cell>
          <cell r="H99">
            <v>46.667650023354724</v>
          </cell>
          <cell r="I99">
            <v>41.303139761044733</v>
          </cell>
          <cell r="J99">
            <v>42.557446997644341</v>
          </cell>
          <cell r="K99">
            <v>46.914996100738563</v>
          </cell>
          <cell r="L99">
            <v>49.121458379090711</v>
          </cell>
          <cell r="M99">
            <v>44.997726731472859</v>
          </cell>
          <cell r="N99">
            <v>42.391981627530214</v>
          </cell>
          <cell r="O99">
            <v>41.285833171025374</v>
          </cell>
          <cell r="P99">
            <v>45.076872181498437</v>
          </cell>
          <cell r="Q99">
            <v>48.579935101863313</v>
          </cell>
          <cell r="R99">
            <v>47.369920879710335</v>
          </cell>
          <cell r="S99">
            <v>45.097682119205295</v>
          </cell>
          <cell r="T99">
            <v>43.286960100026903</v>
          </cell>
          <cell r="U99">
            <v>49.423828451184079</v>
          </cell>
          <cell r="V99">
            <v>43.758306590164999</v>
          </cell>
        </row>
        <row r="100">
          <cell r="B100" t="str">
            <v>Salta</v>
          </cell>
          <cell r="C100">
            <v>39.492119089316994</v>
          </cell>
          <cell r="D100">
            <v>37.296159915833769</v>
          </cell>
          <cell r="E100">
            <v>39.235094375936541</v>
          </cell>
          <cell r="F100">
            <v>43.007948508094159</v>
          </cell>
          <cell r="G100">
            <v>40.886140036397975</v>
          </cell>
          <cell r="H100">
            <v>43.582303237929672</v>
          </cell>
          <cell r="I100">
            <v>43.640753766206494</v>
          </cell>
          <cell r="J100">
            <v>42.891305209475618</v>
          </cell>
          <cell r="K100">
            <v>40.547244298997455</v>
          </cell>
          <cell r="L100">
            <v>41.56857098287675</v>
          </cell>
          <cell r="M100">
            <v>40.557068521130184</v>
          </cell>
          <cell r="N100">
            <v>38.823452427692715</v>
          </cell>
          <cell r="O100">
            <v>39.556603974980256</v>
          </cell>
          <cell r="P100">
            <v>47.728801763136524</v>
          </cell>
          <cell r="Q100">
            <v>43.38758535708785</v>
          </cell>
          <cell r="R100">
            <v>46.871097683786509</v>
          </cell>
          <cell r="S100">
            <v>44.284115555643588</v>
          </cell>
          <cell r="T100">
            <v>45.926617852371912</v>
          </cell>
          <cell r="U100">
            <v>46.44132950221325</v>
          </cell>
          <cell r="V100" t="str">
            <v>...</v>
          </cell>
        </row>
        <row r="101">
          <cell r="B101" t="str">
            <v>Gran San Juan</v>
          </cell>
          <cell r="C101">
            <v>37.306530022336091</v>
          </cell>
          <cell r="D101">
            <v>39.743557854939809</v>
          </cell>
          <cell r="E101">
            <v>34.140202151940009</v>
          </cell>
          <cell r="F101">
            <v>41.585273210700521</v>
          </cell>
          <cell r="G101">
            <v>41.033957862091533</v>
          </cell>
          <cell r="H101">
            <v>46.062020130768602</v>
          </cell>
          <cell r="I101">
            <v>45.002976029435636</v>
          </cell>
          <cell r="J101">
            <v>50.704495228849176</v>
          </cell>
          <cell r="K101">
            <v>46.412906103635414</v>
          </cell>
          <cell r="L101">
            <v>44.415292796785437</v>
          </cell>
          <cell r="M101">
            <v>40.488835316442099</v>
          </cell>
          <cell r="N101">
            <v>39.105069581358883</v>
          </cell>
          <cell r="O101">
            <v>40.885989790130459</v>
          </cell>
          <cell r="P101">
            <v>38.943426662057838</v>
          </cell>
          <cell r="Q101">
            <v>39.896609735173861</v>
          </cell>
          <cell r="R101">
            <v>45.268820789845165</v>
          </cell>
          <cell r="S101">
            <v>43.662878911921055</v>
          </cell>
          <cell r="T101">
            <v>44.790707718185644</v>
          </cell>
          <cell r="U101">
            <v>46.472154910821487</v>
          </cell>
          <cell r="V101" t="str">
            <v>...</v>
          </cell>
        </row>
        <row r="102">
          <cell r="B102" t="str">
            <v>San Luis-El Chorrillo</v>
          </cell>
          <cell r="C102">
            <v>36.936360729133355</v>
          </cell>
          <cell r="D102">
            <v>40.129767248858876</v>
          </cell>
          <cell r="E102">
            <v>40.353277270349658</v>
          </cell>
          <cell r="F102">
            <v>46.78389814060013</v>
          </cell>
          <cell r="G102">
            <v>49.387380777696258</v>
          </cell>
          <cell r="H102">
            <v>50.312568147125106</v>
          </cell>
          <cell r="I102">
            <v>48.431041299737608</v>
          </cell>
          <cell r="J102">
            <v>50.468331070023332</v>
          </cell>
          <cell r="K102">
            <v>50.953687940798389</v>
          </cell>
          <cell r="L102">
            <v>48.222862632084535</v>
          </cell>
          <cell r="M102">
            <v>0</v>
          </cell>
          <cell r="N102">
            <v>45.69795967211153</v>
          </cell>
          <cell r="O102">
            <v>48.187176281478834</v>
          </cell>
          <cell r="P102">
            <v>47.252030592280789</v>
          </cell>
          <cell r="Q102">
            <v>47.799471040979462</v>
          </cell>
          <cell r="R102">
            <v>47.752361443040861</v>
          </cell>
          <cell r="S102">
            <v>55.424227290383442</v>
          </cell>
          <cell r="T102">
            <v>50.154295923339291</v>
          </cell>
          <cell r="U102">
            <v>51.590725638099478</v>
          </cell>
          <cell r="V102">
            <v>52.071237159446184</v>
          </cell>
        </row>
        <row r="103">
          <cell r="B103" t="str">
            <v>Río Gallegos</v>
          </cell>
          <cell r="C103">
            <v>33.383213168276427</v>
          </cell>
          <cell r="D103">
            <v>33.172558228089102</v>
          </cell>
          <cell r="E103">
            <v>23.062214027180222</v>
          </cell>
          <cell r="F103">
            <v>33.955511893902184</v>
          </cell>
          <cell r="G103">
            <v>37.576304106548278</v>
          </cell>
          <cell r="H103">
            <v>42.557859721140915</v>
          </cell>
          <cell r="I103">
            <v>44.875462220051631</v>
          </cell>
          <cell r="J103">
            <v>45.766200582014335</v>
          </cell>
          <cell r="K103">
            <v>42.305308820491632</v>
          </cell>
          <cell r="L103">
            <v>45.295184364295785</v>
          </cell>
          <cell r="M103">
            <v>45.959227040308122</v>
          </cell>
          <cell r="N103">
            <v>44.053220834009409</v>
          </cell>
          <cell r="O103">
            <v>46.742662334203381</v>
          </cell>
          <cell r="P103">
            <v>44.678609062170707</v>
          </cell>
          <cell r="Q103">
            <v>45.029178824510211</v>
          </cell>
          <cell r="R103">
            <v>47.839506172839506</v>
          </cell>
          <cell r="S103">
            <v>46.946126539987468</v>
          </cell>
          <cell r="T103">
            <v>42.516989423126056</v>
          </cell>
          <cell r="U103">
            <v>45.264116575591984</v>
          </cell>
          <cell r="V103" t="str">
            <v>...</v>
          </cell>
        </row>
        <row r="104">
          <cell r="B104" t="str">
            <v>Gran Rosario</v>
          </cell>
          <cell r="C104">
            <v>37.296181630546954</v>
          </cell>
          <cell r="D104">
            <v>40.211251595753986</v>
          </cell>
          <cell r="E104">
            <v>39.28974263745031</v>
          </cell>
          <cell r="F104">
            <v>39.980340714794998</v>
          </cell>
          <cell r="G104">
            <v>40.536223215228176</v>
          </cell>
          <cell r="H104">
            <v>45.360007889465862</v>
          </cell>
          <cell r="I104">
            <v>41.297234897128341</v>
          </cell>
          <cell r="J104">
            <v>40.211369354137972</v>
          </cell>
          <cell r="K104">
            <v>41.431622797707497</v>
          </cell>
          <cell r="L104">
            <v>43.273326640800938</v>
          </cell>
          <cell r="M104">
            <v>33.282569131995352</v>
          </cell>
          <cell r="N104">
            <v>39.197161380179402</v>
          </cell>
          <cell r="O104">
            <v>38.256800518134717</v>
          </cell>
          <cell r="P104">
            <v>36.785046851968836</v>
          </cell>
          <cell r="Q104">
            <v>36.785046851968836</v>
          </cell>
          <cell r="R104">
            <v>37.165093496202743</v>
          </cell>
          <cell r="S104">
            <v>39.871337455096409</v>
          </cell>
          <cell r="T104">
            <v>42.505915947278666</v>
          </cell>
          <cell r="U104">
            <v>38.233622395031233</v>
          </cell>
          <cell r="V104">
            <v>40.058244348911387</v>
          </cell>
        </row>
        <row r="105">
          <cell r="B105" t="str">
            <v>Santa Fe-Santo Tomé</v>
          </cell>
          <cell r="C105">
            <v>33.483159117305462</v>
          </cell>
          <cell r="D105">
            <v>36.094121357528245</v>
          </cell>
          <cell r="E105">
            <v>37.228472126949285</v>
          </cell>
          <cell r="F105">
            <v>36.586589862756654</v>
          </cell>
          <cell r="G105">
            <v>37.653209611522747</v>
          </cell>
          <cell r="H105">
            <v>34.806284592037137</v>
          </cell>
          <cell r="I105">
            <v>37.546519935591881</v>
          </cell>
          <cell r="J105">
            <v>39.736309774405207</v>
          </cell>
          <cell r="K105">
            <v>34.372408709806216</v>
          </cell>
          <cell r="L105">
            <v>33.751012278666636</v>
          </cell>
          <cell r="M105">
            <v>29.473672536929424</v>
          </cell>
          <cell r="N105">
            <v>31.560276560678542</v>
          </cell>
          <cell r="O105">
            <v>33.638171789456415</v>
          </cell>
          <cell r="P105">
            <v>33.581673142101351</v>
          </cell>
          <cell r="Q105">
            <v>33.581673142101351</v>
          </cell>
          <cell r="R105">
            <v>40.338523895196147</v>
          </cell>
          <cell r="S105">
            <v>40.656370656370655</v>
          </cell>
          <cell r="T105">
            <v>42.242975923079953</v>
          </cell>
          <cell r="U105">
            <v>43.468801313628902</v>
          </cell>
          <cell r="V105" t="str">
            <v>...</v>
          </cell>
        </row>
        <row r="106">
          <cell r="B106" t="str">
            <v>Santiago del Estero y La Banda</v>
          </cell>
          <cell r="C106" t="str">
            <v>...</v>
          </cell>
          <cell r="D106">
            <v>34.546872188568344</v>
          </cell>
          <cell r="E106">
            <v>28.80762612977869</v>
          </cell>
          <cell r="F106">
            <v>36.255465271816171</v>
          </cell>
          <cell r="G106">
            <v>36.790645701971428</v>
          </cell>
          <cell r="H106">
            <v>36.953081806569692</v>
          </cell>
          <cell r="I106">
            <v>39.314972154112262</v>
          </cell>
          <cell r="J106">
            <v>36.218145761031231</v>
          </cell>
          <cell r="K106">
            <v>37.572195141932582</v>
          </cell>
          <cell r="L106">
            <v>38.391719745222929</v>
          </cell>
          <cell r="M106">
            <v>34.974213812090426</v>
          </cell>
          <cell r="N106">
            <v>36.749399519615693</v>
          </cell>
          <cell r="O106">
            <v>35.306200838357356</v>
          </cell>
          <cell r="P106">
            <v>35.391262281682152</v>
          </cell>
          <cell r="Q106">
            <v>37.545733699202927</v>
          </cell>
          <cell r="R106">
            <v>44.314039718451482</v>
          </cell>
          <cell r="S106">
            <v>43.27888596161084</v>
          </cell>
          <cell r="T106">
            <v>36.821404215501246</v>
          </cell>
          <cell r="U106">
            <v>41.550904995972317</v>
          </cell>
          <cell r="V106">
            <v>43.299399466906451</v>
          </cell>
        </row>
        <row r="107">
          <cell r="B107" t="str">
            <v>Ushuaia-Río Grande</v>
          </cell>
          <cell r="C107" t="str">
            <v>...</v>
          </cell>
          <cell r="D107">
            <v>43.674903649965998</v>
          </cell>
          <cell r="E107">
            <v>38.929868986017837</v>
          </cell>
          <cell r="F107">
            <v>42.687027950824188</v>
          </cell>
          <cell r="G107">
            <v>45.00692414217572</v>
          </cell>
          <cell r="H107">
            <v>43.116188878989568</v>
          </cell>
          <cell r="I107">
            <v>46.680080482897388</v>
          </cell>
          <cell r="J107">
            <v>44.580777096114524</v>
          </cell>
          <cell r="K107">
            <v>46.60377358490566</v>
          </cell>
          <cell r="L107">
            <v>48.257146867543163</v>
          </cell>
          <cell r="M107">
            <v>44.16967763127024</v>
          </cell>
          <cell r="N107">
            <v>40.597494922139468</v>
          </cell>
          <cell r="O107">
            <v>40.807862978476336</v>
          </cell>
          <cell r="P107">
            <v>39.783513738551207</v>
          </cell>
          <cell r="Q107">
            <v>41.512605042016808</v>
          </cell>
          <cell r="R107">
            <v>46.650823700004032</v>
          </cell>
          <cell r="S107">
            <v>43.98089294656959</v>
          </cell>
          <cell r="T107">
            <v>42.745593812746336</v>
          </cell>
          <cell r="U107">
            <v>46.721940733916782</v>
          </cell>
          <cell r="V107">
            <v>51.606628511577448</v>
          </cell>
        </row>
        <row r="108">
          <cell r="B108" t="str">
            <v>Gran Tucumán y Tafí Viejo</v>
          </cell>
          <cell r="C108">
            <v>36.413802323163303</v>
          </cell>
          <cell r="D108">
            <v>38.673486602966214</v>
          </cell>
          <cell r="E108">
            <v>31.794119113948398</v>
          </cell>
          <cell r="F108">
            <v>40.096997921473111</v>
          </cell>
          <cell r="G108">
            <v>41.802393868004586</v>
          </cell>
          <cell r="H108">
            <v>43.500536406899016</v>
          </cell>
          <cell r="I108">
            <v>41.192448184968619</v>
          </cell>
          <cell r="J108">
            <v>39.296777885203525</v>
          </cell>
          <cell r="K108">
            <v>41.896162824245287</v>
          </cell>
          <cell r="L108">
            <v>33.985929932477816</v>
          </cell>
          <cell r="M108">
            <v>43.373353751914237</v>
          </cell>
          <cell r="N108">
            <v>38.054138189308119</v>
          </cell>
          <cell r="O108">
            <v>33.526207697115815</v>
          </cell>
          <cell r="P108">
            <v>33.152393135797347</v>
          </cell>
          <cell r="Q108">
            <v>39.350022208808355</v>
          </cell>
          <cell r="R108">
            <v>44.011066106923138</v>
          </cell>
          <cell r="S108">
            <v>43.665112741228199</v>
          </cell>
          <cell r="T108">
            <v>41.111612575195814</v>
          </cell>
          <cell r="U108">
            <v>37.808192803832519</v>
          </cell>
          <cell r="V108">
            <v>38.99304923118504</v>
          </cell>
        </row>
        <row r="109">
          <cell r="B109" t="str">
            <v>Total aglomerados del interior</v>
          </cell>
          <cell r="C109">
            <v>37.710168642702044</v>
          </cell>
          <cell r="D109">
            <v>39.513575865530832</v>
          </cell>
          <cell r="E109">
            <v>38.801771762936809</v>
          </cell>
          <cell r="F109">
            <v>41.743395498107994</v>
          </cell>
          <cell r="G109">
            <v>43.143346707148012</v>
          </cell>
          <cell r="H109">
            <v>44.917600186272736</v>
          </cell>
          <cell r="I109">
            <v>43.653992860248728</v>
          </cell>
          <cell r="J109">
            <v>43.925381802361613</v>
          </cell>
          <cell r="K109">
            <v>43.905667364345433</v>
          </cell>
          <cell r="L109">
            <v>43.487947340637731</v>
          </cell>
          <cell r="M109">
            <v>39.497206262397953</v>
          </cell>
          <cell r="N109">
            <v>39.866871663924378</v>
          </cell>
          <cell r="O109">
            <v>40.570697670465648</v>
          </cell>
          <cell r="P109">
            <v>41.415337391808187</v>
          </cell>
          <cell r="Q109">
            <v>41.546541160859604</v>
          </cell>
          <cell r="R109">
            <v>43.765887688045382</v>
          </cell>
          <cell r="S109">
            <v>45.02431383428906</v>
          </cell>
          <cell r="T109">
            <v>44.141143793865723</v>
          </cell>
          <cell r="U109">
            <v>45.512368433708936</v>
          </cell>
          <cell r="V109">
            <v>43.714470230165624</v>
          </cell>
        </row>
      </sheetData>
      <sheetData sheetId="2">
        <row r="77">
          <cell r="B77" t="str">
            <v>aglocuadro</v>
          </cell>
          <cell r="C77" t="str">
            <v>Mayo</v>
          </cell>
          <cell r="D77" t="str">
            <v>Octubre</v>
          </cell>
          <cell r="E77" t="str">
            <v>Junio</v>
          </cell>
          <cell r="F77" t="str">
            <v>Octubre</v>
          </cell>
          <cell r="G77" t="str">
            <v>Mayo</v>
          </cell>
          <cell r="H77" t="str">
            <v>Octubre</v>
          </cell>
          <cell r="I77" t="str">
            <v>Mayo</v>
          </cell>
          <cell r="J77" t="str">
            <v>Octubre</v>
          </cell>
          <cell r="K77" t="str">
            <v>Mayo</v>
          </cell>
          <cell r="L77" t="str">
            <v>Octubre</v>
          </cell>
          <cell r="M77" t="str">
            <v>Mayo</v>
          </cell>
          <cell r="N77" t="str">
            <v>Octubre</v>
          </cell>
          <cell r="O77" t="str">
            <v>Abril</v>
          </cell>
          <cell r="P77" t="str">
            <v>Octubre</v>
          </cell>
          <cell r="Q77" t="str">
            <v>Mayo</v>
          </cell>
          <cell r="R77" t="str">
            <v>Octubre</v>
          </cell>
          <cell r="S77" t="str">
            <v>Mayo</v>
          </cell>
          <cell r="T77" t="str">
            <v>Agosto</v>
          </cell>
          <cell r="U77" t="str">
            <v>Octubre</v>
          </cell>
          <cell r="V77" t="str">
            <v>Mayo</v>
          </cell>
        </row>
        <row r="78">
          <cell r="B78" t="str">
            <v>Total aglomerados urbanos</v>
          </cell>
          <cell r="C78">
            <v>19.9707604161635</v>
          </cell>
          <cell r="D78">
            <v>22.395127045520841</v>
          </cell>
          <cell r="E78">
            <v>21.612535672325876</v>
          </cell>
          <cell r="F78">
            <v>22.135426550381073</v>
          </cell>
          <cell r="G78">
            <v>22.283444041023664</v>
          </cell>
          <cell r="H78">
            <v>24.032573189542983</v>
          </cell>
          <cell r="I78">
            <v>21.988765327607439</v>
          </cell>
          <cell r="J78">
            <v>23.212569212533563</v>
          </cell>
          <cell r="K78">
            <v>22.636041733055247</v>
          </cell>
          <cell r="L78">
            <v>20.938119970144754</v>
          </cell>
          <cell r="M78">
            <v>20.994951875220313</v>
          </cell>
          <cell r="N78">
            <v>19.803442205854928</v>
          </cell>
          <cell r="O78">
            <v>22.119823875371107</v>
          </cell>
          <cell r="P78">
            <v>20.813095500008462</v>
          </cell>
          <cell r="Q78">
            <v>21.566828167369373</v>
          </cell>
          <cell r="R78">
            <v>23.982008665045701</v>
          </cell>
          <cell r="S78">
            <v>23.836782842631017</v>
          </cell>
          <cell r="T78">
            <v>22.720827169595793</v>
          </cell>
          <cell r="U78">
            <v>24.253617519536842</v>
          </cell>
          <cell r="V78">
            <v>24.319665731391211</v>
          </cell>
        </row>
        <row r="79">
          <cell r="B79" t="str">
            <v>Capital Federal</v>
          </cell>
          <cell r="C79">
            <v>16.407720294345861</v>
          </cell>
          <cell r="D79">
            <v>21.386912892363036</v>
          </cell>
          <cell r="E79">
            <v>18.80947332149389</v>
          </cell>
          <cell r="F79">
            <v>19.98312591558166</v>
          </cell>
          <cell r="G79">
            <v>22.316286124623886</v>
          </cell>
          <cell r="H79">
            <v>23.746844364813661</v>
          </cell>
          <cell r="I79">
            <v>19.488136246363801</v>
          </cell>
          <cell r="J79">
            <v>21.001289375358816</v>
          </cell>
          <cell r="K79">
            <v>21.555036954490259</v>
          </cell>
          <cell r="L79">
            <v>19.91919875414828</v>
          </cell>
          <cell r="M79">
            <v>22.628699020848519</v>
          </cell>
          <cell r="N79">
            <v>17.07673261471254</v>
          </cell>
          <cell r="O79">
            <v>22.202064762004202</v>
          </cell>
          <cell r="P79">
            <v>22.505315083076219</v>
          </cell>
          <cell r="Q79">
            <v>23.260148785921984</v>
          </cell>
          <cell r="R79">
            <v>25.718011831260611</v>
          </cell>
          <cell r="S79">
            <v>24.100785871476631</v>
          </cell>
          <cell r="T79">
            <v>25.473006134969324</v>
          </cell>
          <cell r="U79">
            <v>24.882316621928737</v>
          </cell>
          <cell r="V79">
            <v>25.271040762488301</v>
          </cell>
        </row>
        <row r="80">
          <cell r="B80" t="str">
            <v>Partidos del Conurbano</v>
          </cell>
          <cell r="C80">
            <v>22.573310341570334</v>
          </cell>
          <cell r="D80">
            <v>23.74433635804732</v>
          </cell>
          <cell r="E80">
            <v>24.17597284400059</v>
          </cell>
          <cell r="F80">
            <v>23.053340945513558</v>
          </cell>
          <cell r="G80">
            <v>22.284365268173588</v>
          </cell>
          <cell r="H80">
            <v>25.399782114710995</v>
          </cell>
          <cell r="I80">
            <v>22.566022276795959</v>
          </cell>
          <cell r="J80">
            <v>24.10147959249916</v>
          </cell>
          <cell r="K80">
            <v>23.475717689475402</v>
          </cell>
          <cell r="L80">
            <v>20.515252477310703</v>
          </cell>
          <cell r="M80">
            <v>20.750123870169944</v>
          </cell>
          <cell r="N80">
            <v>19.383042070815247</v>
          </cell>
          <cell r="O80">
            <v>21.881781480608602</v>
          </cell>
          <cell r="P80">
            <v>18.986665832377575</v>
          </cell>
          <cell r="Q80">
            <v>21.057417121650072</v>
          </cell>
          <cell r="R80">
            <v>23.924881037217535</v>
          </cell>
          <cell r="S80">
            <v>24.049946970927511</v>
          </cell>
          <cell r="T80">
            <v>22.20651364507172</v>
          </cell>
          <cell r="U80">
            <v>23.297238069133464</v>
          </cell>
          <cell r="V80">
            <v>23.650727197759917</v>
          </cell>
        </row>
        <row r="81">
          <cell r="B81" t="str">
            <v>Gran Buenos Aires</v>
          </cell>
          <cell r="C81">
            <v>20.321982932175406</v>
          </cell>
          <cell r="D81">
            <v>22.897726479360799</v>
          </cell>
          <cell r="E81">
            <v>22.225279952981868</v>
          </cell>
          <cell r="F81">
            <v>21.981527174529962</v>
          </cell>
          <cell r="G81">
            <v>22.295381858668602</v>
          </cell>
          <cell r="H81">
            <v>24.837150850358153</v>
          </cell>
          <cell r="I81">
            <v>21.593324719429305</v>
          </cell>
          <cell r="J81">
            <v>23.086295146299307</v>
          </cell>
          <cell r="K81">
            <v>22.875003516610384</v>
          </cell>
          <cell r="L81">
            <v>20.324273540970992</v>
          </cell>
          <cell r="M81">
            <v>21.353810162701127</v>
          </cell>
          <cell r="N81">
            <v>18.647796797471685</v>
          </cell>
          <cell r="O81">
            <v>21.984040170432646</v>
          </cell>
          <cell r="P81">
            <v>20.094501722398387</v>
          </cell>
          <cell r="Q81">
            <v>21.764222618052273</v>
          </cell>
          <cell r="R81">
            <v>24.51387883875076</v>
          </cell>
          <cell r="S81">
            <v>24.066183223233899</v>
          </cell>
          <cell r="T81">
            <v>23.198019737448544</v>
          </cell>
          <cell r="U81">
            <v>23.79767812244236</v>
          </cell>
          <cell r="V81">
            <v>24.150925882547135</v>
          </cell>
        </row>
        <row r="82">
          <cell r="B82" t="str">
            <v>Bahía Blanca</v>
          </cell>
          <cell r="C82">
            <v>16.819684171869262</v>
          </cell>
          <cell r="D82">
            <v>20.82616179001721</v>
          </cell>
          <cell r="E82">
            <v>20.168828814832075</v>
          </cell>
          <cell r="F82">
            <v>25.206369364528889</v>
          </cell>
          <cell r="G82">
            <v>21.311704331230942</v>
          </cell>
          <cell r="H82">
            <v>20.864401482341385</v>
          </cell>
          <cell r="I82">
            <v>19.397044695548743</v>
          </cell>
          <cell r="J82">
            <v>20.802690957713523</v>
          </cell>
          <cell r="K82">
            <v>21.824312788116785</v>
          </cell>
          <cell r="L82">
            <v>16.337928743459845</v>
          </cell>
          <cell r="M82">
            <v>16.463158824438608</v>
          </cell>
          <cell r="N82">
            <v>19.624742767219466</v>
          </cell>
          <cell r="O82">
            <v>18.250034107963074</v>
          </cell>
          <cell r="P82">
            <v>18.499153577474448</v>
          </cell>
          <cell r="Q82">
            <v>18.499153577474448</v>
          </cell>
          <cell r="R82">
            <v>28.774052357750435</v>
          </cell>
          <cell r="S82">
            <v>22.305657002310504</v>
          </cell>
          <cell r="T82">
            <v>22.952418873183355</v>
          </cell>
          <cell r="U82">
            <v>18.452148055403399</v>
          </cell>
          <cell r="V82" t="str">
            <v>...</v>
          </cell>
        </row>
        <row r="83">
          <cell r="B83" t="str">
            <v>Gran La Plata</v>
          </cell>
          <cell r="C83">
            <v>13.469512195121952</v>
          </cell>
          <cell r="D83">
            <v>18.809698750918439</v>
          </cell>
          <cell r="E83">
            <v>17.03906158607268</v>
          </cell>
          <cell r="F83">
            <v>23.543857831200459</v>
          </cell>
          <cell r="G83">
            <v>20.966234610540003</v>
          </cell>
          <cell r="H83">
            <v>22.26590489120187</v>
          </cell>
          <cell r="I83">
            <v>21.996688310480195</v>
          </cell>
          <cell r="J83">
            <v>21.77034417454152</v>
          </cell>
          <cell r="K83">
            <v>19.064441203478637</v>
          </cell>
          <cell r="L83">
            <v>20.688748419721872</v>
          </cell>
          <cell r="M83">
            <v>16.386633774388876</v>
          </cell>
          <cell r="N83">
            <v>18.615129039836226</v>
          </cell>
          <cell r="O83">
            <v>17.320320501235013</v>
          </cell>
          <cell r="P83">
            <v>17.410172952964452</v>
          </cell>
          <cell r="Q83">
            <v>17.410172952964452</v>
          </cell>
          <cell r="R83">
            <v>18.876623734254398</v>
          </cell>
          <cell r="S83">
            <v>21.893495928358597</v>
          </cell>
          <cell r="T83">
            <v>19.038595627742914</v>
          </cell>
          <cell r="U83">
            <v>22.499523876555681</v>
          </cell>
          <cell r="V83" t="str">
            <v>...</v>
          </cell>
        </row>
        <row r="84">
          <cell r="B84" t="str">
            <v>Mar del Plata y Batán</v>
          </cell>
          <cell r="C84" t="str">
            <v>...</v>
          </cell>
          <cell r="D84" t="str">
            <v>...</v>
          </cell>
          <cell r="E84" t="str">
            <v>...</v>
          </cell>
          <cell r="F84" t="str">
            <v>...</v>
          </cell>
          <cell r="G84" t="str">
            <v>...</v>
          </cell>
          <cell r="H84" t="str">
            <v>...</v>
          </cell>
          <cell r="I84" t="str">
            <v>...</v>
          </cell>
          <cell r="J84" t="str">
            <v>...</v>
          </cell>
          <cell r="K84" t="str">
            <v>...</v>
          </cell>
          <cell r="L84" t="str">
            <v>...</v>
          </cell>
          <cell r="M84" t="str">
            <v>...</v>
          </cell>
          <cell r="N84">
            <v>25.451040378852962</v>
          </cell>
          <cell r="O84">
            <v>28.459284069499684</v>
          </cell>
          <cell r="P84">
            <v>27.918011413426807</v>
          </cell>
          <cell r="Q84">
            <v>21.50155446066578</v>
          </cell>
          <cell r="R84">
            <v>21.25325027859531</v>
          </cell>
          <cell r="S84">
            <v>20.30556676079064</v>
          </cell>
          <cell r="T84">
            <v>24.165428210190093</v>
          </cell>
          <cell r="U84">
            <v>28.870799369211291</v>
          </cell>
          <cell r="V84" t="str">
            <v>...</v>
          </cell>
        </row>
        <row r="85">
          <cell r="B85" t="str">
            <v>Gran Catamarca</v>
          </cell>
          <cell r="C85">
            <v>18.462419652517024</v>
          </cell>
          <cell r="D85">
            <v>18.421214924452666</v>
          </cell>
          <cell r="E85">
            <v>17.205034410068819</v>
          </cell>
          <cell r="F85">
            <v>18.608101135190918</v>
          </cell>
          <cell r="G85">
            <v>21.32047839882841</v>
          </cell>
          <cell r="H85">
            <v>22.927553444180525</v>
          </cell>
          <cell r="I85">
            <v>22.284013032243568</v>
          </cell>
          <cell r="J85">
            <v>21.733610341643583</v>
          </cell>
          <cell r="K85">
            <v>18.187344570323294</v>
          </cell>
          <cell r="L85">
            <v>18.394254475292097</v>
          </cell>
          <cell r="M85">
            <v>18.893916540975365</v>
          </cell>
          <cell r="N85">
            <v>21.372435255024001</v>
          </cell>
          <cell r="O85">
            <v>18.56094416344342</v>
          </cell>
          <cell r="P85">
            <v>22.713263333855718</v>
          </cell>
          <cell r="Q85">
            <v>19.851521263356648</v>
          </cell>
          <cell r="R85">
            <v>23.722955381991202</v>
          </cell>
          <cell r="S85">
            <v>19.393168763975975</v>
          </cell>
          <cell r="T85">
            <v>17.847286108555657</v>
          </cell>
          <cell r="U85">
            <v>24.255037366379717</v>
          </cell>
          <cell r="V85">
            <v>25.02076822659124</v>
          </cell>
        </row>
        <row r="86">
          <cell r="B86" t="str">
            <v>Gran Córdoba</v>
          </cell>
          <cell r="C86">
            <v>22.407173466101902</v>
          </cell>
          <cell r="D86">
            <v>25.960263346281582</v>
          </cell>
          <cell r="E86">
            <v>26.471174324038209</v>
          </cell>
          <cell r="F86">
            <v>24.749574691536207</v>
          </cell>
          <cell r="G86">
            <v>26.98812036718865</v>
          </cell>
          <cell r="H86">
            <v>25.276298288829381</v>
          </cell>
          <cell r="I86">
            <v>26.629764906765573</v>
          </cell>
          <cell r="J86">
            <v>27.638010270009101</v>
          </cell>
          <cell r="K86">
            <v>23.967908358628382</v>
          </cell>
          <cell r="L86">
            <v>21.167221518888422</v>
          </cell>
          <cell r="M86">
            <v>21.848851462985664</v>
          </cell>
          <cell r="N86">
            <v>18.113842823879224</v>
          </cell>
          <cell r="O86">
            <v>20.366224703419398</v>
          </cell>
          <cell r="P86" t="str">
            <v>...</v>
          </cell>
          <cell r="Q86">
            <v>20.168596004035489</v>
          </cell>
          <cell r="R86">
            <v>22.512935975484442</v>
          </cell>
          <cell r="S86">
            <v>21.979263624734322</v>
          </cell>
          <cell r="T86">
            <v>20.414342237841289</v>
          </cell>
          <cell r="U86">
            <v>25.804922717295774</v>
          </cell>
          <cell r="V86">
            <v>25.388941130466357</v>
          </cell>
        </row>
        <row r="87">
          <cell r="B87" t="str">
            <v>Río Cuarto</v>
          </cell>
          <cell r="C87" t="str">
            <v>...</v>
          </cell>
          <cell r="D87" t="str">
            <v>...</v>
          </cell>
          <cell r="E87" t="str">
            <v>...</v>
          </cell>
          <cell r="F87" t="str">
            <v>...</v>
          </cell>
          <cell r="G87" t="str">
            <v>...</v>
          </cell>
          <cell r="H87" t="str">
            <v>...</v>
          </cell>
          <cell r="I87" t="str">
            <v>...</v>
          </cell>
          <cell r="J87" t="str">
            <v>...</v>
          </cell>
          <cell r="K87" t="str">
            <v>...</v>
          </cell>
          <cell r="L87" t="str">
            <v>...</v>
          </cell>
          <cell r="M87" t="str">
            <v>...</v>
          </cell>
          <cell r="N87">
            <v>21.388640429338103</v>
          </cell>
          <cell r="O87">
            <v>18.302356326308423</v>
          </cell>
          <cell r="P87">
            <v>19.814704124327555</v>
          </cell>
          <cell r="Q87">
            <v>19.945918104558331</v>
          </cell>
          <cell r="R87">
            <v>20.963275135460567</v>
          </cell>
          <cell r="S87">
            <v>19.929865575686733</v>
          </cell>
          <cell r="T87">
            <v>20.538674660489622</v>
          </cell>
          <cell r="U87">
            <v>25.85431654676259</v>
          </cell>
          <cell r="V87" t="str">
            <v>...</v>
          </cell>
        </row>
        <row r="88">
          <cell r="B88" t="str">
            <v>Corrientes</v>
          </cell>
          <cell r="C88">
            <v>19.305881040062491</v>
          </cell>
          <cell r="D88">
            <v>21.786684283931589</v>
          </cell>
          <cell r="E88">
            <v>22.679238569649527</v>
          </cell>
          <cell r="F88">
            <v>22.91288404713589</v>
          </cell>
          <cell r="G88" t="str">
            <v>...</v>
          </cell>
          <cell r="H88">
            <v>19.57384334576621</v>
          </cell>
          <cell r="I88">
            <v>18.710548255190755</v>
          </cell>
          <cell r="J88">
            <v>25.188036300716831</v>
          </cell>
          <cell r="K88">
            <v>24.395529969522521</v>
          </cell>
          <cell r="L88">
            <v>22.204529370134466</v>
          </cell>
          <cell r="M88">
            <v>25.451462231874572</v>
          </cell>
          <cell r="N88">
            <v>21.296785662806901</v>
          </cell>
          <cell r="O88">
            <v>24.849225537341589</v>
          </cell>
          <cell r="P88">
            <v>22.800195589913148</v>
          </cell>
          <cell r="Q88">
            <v>19.512836448821531</v>
          </cell>
          <cell r="R88">
            <v>25.987335987988775</v>
          </cell>
          <cell r="S88">
            <v>27.429249047912247</v>
          </cell>
          <cell r="T88">
            <v>25.337564137186064</v>
          </cell>
          <cell r="U88">
            <v>26.189185526494107</v>
          </cell>
          <cell r="V88" t="str">
            <v>...</v>
          </cell>
        </row>
        <row r="89">
          <cell r="B89" t="str">
            <v xml:space="preserve">Gran Resistencia </v>
          </cell>
          <cell r="C89">
            <v>21.633129949370375</v>
          </cell>
          <cell r="D89">
            <v>22.914199146123124</v>
          </cell>
          <cell r="E89">
            <v>24.861040929762506</v>
          </cell>
          <cell r="F89">
            <v>22.83757672198227</v>
          </cell>
          <cell r="G89">
            <v>23.609055528147781</v>
          </cell>
          <cell r="H89">
            <v>23.314229303205639</v>
          </cell>
          <cell r="I89">
            <v>27.49475341028332</v>
          </cell>
          <cell r="J89">
            <v>24.197598388981429</v>
          </cell>
          <cell r="K89">
            <v>29.452506596306065</v>
          </cell>
          <cell r="L89">
            <v>29.324101371270928</v>
          </cell>
          <cell r="M89">
            <v>29.782082324455207</v>
          </cell>
          <cell r="N89">
            <v>27.047511589688245</v>
          </cell>
          <cell r="O89">
            <v>24.457266498377209</v>
          </cell>
          <cell r="P89">
            <v>26.007106160272723</v>
          </cell>
          <cell r="Q89">
            <v>22.652207810617337</v>
          </cell>
          <cell r="R89">
            <v>25.82695201095866</v>
          </cell>
          <cell r="S89">
            <v>27.785573954532701</v>
          </cell>
          <cell r="T89">
            <v>22.796345761037912</v>
          </cell>
          <cell r="U89">
            <v>26.313433539084958</v>
          </cell>
          <cell r="V89">
            <v>26.564944339900698</v>
          </cell>
        </row>
        <row r="90">
          <cell r="B90" t="str">
            <v>Comodoro Rivadavia</v>
          </cell>
          <cell r="C90" t="str">
            <v>...</v>
          </cell>
          <cell r="D90" t="str">
            <v>...</v>
          </cell>
          <cell r="E90">
            <v>21.547107438016528</v>
          </cell>
          <cell r="F90" t="str">
            <v>...</v>
          </cell>
          <cell r="G90">
            <v>19.066800939912724</v>
          </cell>
          <cell r="H90">
            <v>22.108972621306588</v>
          </cell>
          <cell r="I90">
            <v>22.07175925925926</v>
          </cell>
          <cell r="J90">
            <v>27.146608814797901</v>
          </cell>
          <cell r="K90">
            <v>24.54037773734078</v>
          </cell>
          <cell r="L90">
            <v>25.129839471199244</v>
          </cell>
          <cell r="M90">
            <v>21.849836779107726</v>
          </cell>
          <cell r="N90">
            <v>22.30949653630066</v>
          </cell>
          <cell r="O90">
            <v>23.924746101337476</v>
          </cell>
          <cell r="P90">
            <v>26.615299944964228</v>
          </cell>
          <cell r="Q90">
            <v>27.407054337464253</v>
          </cell>
          <cell r="R90">
            <v>21.878063124877475</v>
          </cell>
          <cell r="S90">
            <v>24.532252924841806</v>
          </cell>
          <cell r="T90">
            <v>23.554286341918832</v>
          </cell>
          <cell r="U90">
            <v>22.783528870485391</v>
          </cell>
          <cell r="V90" t="str">
            <v>...</v>
          </cell>
        </row>
        <row r="91">
          <cell r="B91" t="str">
            <v>Paraná</v>
          </cell>
          <cell r="C91">
            <v>16.233653007846556</v>
          </cell>
          <cell r="D91">
            <v>14.282172958424818</v>
          </cell>
          <cell r="E91">
            <v>14.159974751902373</v>
          </cell>
          <cell r="F91">
            <v>18.082996694821887</v>
          </cell>
          <cell r="G91">
            <v>15.985251057369048</v>
          </cell>
          <cell r="H91">
            <v>15.525942540488835</v>
          </cell>
          <cell r="I91">
            <v>16.97111231965194</v>
          </cell>
          <cell r="J91">
            <v>18.29251322015029</v>
          </cell>
          <cell r="K91">
            <v>21.535219317045293</v>
          </cell>
          <cell r="L91">
            <v>17.699473471040907</v>
          </cell>
          <cell r="M91">
            <v>19.281563655573166</v>
          </cell>
          <cell r="N91">
            <v>20.645333649964378</v>
          </cell>
          <cell r="O91">
            <v>18.876959224340482</v>
          </cell>
          <cell r="P91">
            <v>18.885800909550277</v>
          </cell>
          <cell r="Q91">
            <v>16.602809706257982</v>
          </cell>
          <cell r="R91">
            <v>17.115368144574187</v>
          </cell>
          <cell r="S91">
            <v>18.772633033863166</v>
          </cell>
          <cell r="T91">
            <v>18.889435908066229</v>
          </cell>
          <cell r="U91">
            <v>23.901064018893319</v>
          </cell>
          <cell r="V91">
            <v>19.274366094596441</v>
          </cell>
        </row>
        <row r="92">
          <cell r="B92" t="str">
            <v>Concordia</v>
          </cell>
          <cell r="C92" t="str">
            <v>...</v>
          </cell>
          <cell r="D92" t="str">
            <v>...</v>
          </cell>
          <cell r="E92" t="str">
            <v>...</v>
          </cell>
          <cell r="F92" t="str">
            <v>...</v>
          </cell>
          <cell r="G92" t="str">
            <v>...</v>
          </cell>
          <cell r="H92" t="str">
            <v>...</v>
          </cell>
          <cell r="I92" t="str">
            <v>...</v>
          </cell>
          <cell r="J92" t="str">
            <v>...</v>
          </cell>
          <cell r="K92" t="str">
            <v>...</v>
          </cell>
          <cell r="L92" t="str">
            <v>...</v>
          </cell>
          <cell r="M92" t="str">
            <v>...</v>
          </cell>
          <cell r="N92">
            <v>21.098931788033234</v>
          </cell>
          <cell r="O92">
            <v>17.981520966595593</v>
          </cell>
          <cell r="P92">
            <v>23.634836180341644</v>
          </cell>
          <cell r="Q92">
            <v>22.65798045602606</v>
          </cell>
          <cell r="R92">
            <v>26.105642589768475</v>
          </cell>
          <cell r="S92">
            <v>25</v>
          </cell>
          <cell r="T92">
            <v>25.462405603589801</v>
          </cell>
          <cell r="U92">
            <v>23.393231176276043</v>
          </cell>
          <cell r="V92" t="str">
            <v>...</v>
          </cell>
        </row>
        <row r="93">
          <cell r="B93" t="str">
            <v>Formosa</v>
          </cell>
          <cell r="C93" t="str">
            <v>...</v>
          </cell>
          <cell r="D93">
            <v>22.891060615144792</v>
          </cell>
          <cell r="E93">
            <v>14.595375722543352</v>
          </cell>
          <cell r="F93">
            <v>19.416342412451364</v>
          </cell>
          <cell r="G93">
            <v>19.723735622695504</v>
          </cell>
          <cell r="H93">
            <v>19.322595926101375</v>
          </cell>
          <cell r="I93">
            <v>23.890106529384781</v>
          </cell>
          <cell r="J93">
            <v>17.613636363636363</v>
          </cell>
          <cell r="K93">
            <v>23.82024721012861</v>
          </cell>
          <cell r="L93">
            <v>16.552480131542886</v>
          </cell>
          <cell r="M93">
            <v>18.698451015892175</v>
          </cell>
          <cell r="N93">
            <v>25.23434758634518</v>
          </cell>
          <cell r="O93">
            <v>19.733096085409251</v>
          </cell>
          <cell r="P93">
            <v>19.509935138474212</v>
          </cell>
          <cell r="Q93">
            <v>26.913767737648904</v>
          </cell>
          <cell r="R93">
            <v>28.968162284552466</v>
          </cell>
          <cell r="S93">
            <v>29.924780610112826</v>
          </cell>
          <cell r="T93">
            <v>26.362400466109925</v>
          </cell>
          <cell r="U93">
            <v>31.471009875756611</v>
          </cell>
          <cell r="V93" t="str">
            <v>...</v>
          </cell>
        </row>
        <row r="94">
          <cell r="B94" t="str">
            <v xml:space="preserve">S.S. de Jujuy </v>
          </cell>
          <cell r="C94">
            <v>24.05548755609955</v>
          </cell>
          <cell r="D94">
            <v>24.022019208245489</v>
          </cell>
          <cell r="E94">
            <v>26.276468238114266</v>
          </cell>
          <cell r="F94">
            <v>24.280291047136981</v>
          </cell>
          <cell r="G94">
            <v>26.578533443187773</v>
          </cell>
          <cell r="H94">
            <v>24.278033794162827</v>
          </cell>
          <cell r="I94">
            <v>22.977308747922223</v>
          </cell>
          <cell r="J94">
            <v>26.773916613788213</v>
          </cell>
          <cell r="K94">
            <v>24.743265366870069</v>
          </cell>
          <cell r="L94">
            <v>27.124018716887736</v>
          </cell>
          <cell r="M94">
            <v>24.577045346585301</v>
          </cell>
          <cell r="N94">
            <v>27.31599795553284</v>
          </cell>
          <cell r="O94">
            <v>26.577394462097143</v>
          </cell>
          <cell r="P94">
            <v>22.940150295222757</v>
          </cell>
          <cell r="Q94">
            <v>19.627874032908359</v>
          </cell>
          <cell r="R94">
            <v>20.426812733879277</v>
          </cell>
          <cell r="S94">
            <v>28.231407538433523</v>
          </cell>
          <cell r="T94">
            <v>19.245410052567522</v>
          </cell>
          <cell r="U94">
            <v>25.610888618027744</v>
          </cell>
          <cell r="V94">
            <v>26.574987026466008</v>
          </cell>
        </row>
        <row r="95">
          <cell r="B95" t="str">
            <v xml:space="preserve">Santa Rosa y Toay </v>
          </cell>
          <cell r="C95">
            <v>24.963556851311953</v>
          </cell>
          <cell r="D95">
            <v>18.12821712681329</v>
          </cell>
          <cell r="E95">
            <v>17.153036986766203</v>
          </cell>
          <cell r="F95">
            <v>18.943533697632059</v>
          </cell>
          <cell r="G95">
            <v>19.351828285399169</v>
          </cell>
          <cell r="H95">
            <v>20.879215416379903</v>
          </cell>
          <cell r="I95">
            <v>20.875964817806498</v>
          </cell>
          <cell r="J95">
            <v>23.795081967213115</v>
          </cell>
          <cell r="K95">
            <v>22.772669625871909</v>
          </cell>
          <cell r="L95">
            <v>23.704976951324323</v>
          </cell>
          <cell r="M95">
            <v>19.942388654996677</v>
          </cell>
          <cell r="N95">
            <v>20.077448149120507</v>
          </cell>
          <cell r="O95">
            <v>19.364485981308409</v>
          </cell>
          <cell r="P95">
            <v>23.344776851397743</v>
          </cell>
          <cell r="Q95">
            <v>22.224132989395244</v>
          </cell>
          <cell r="R95">
            <v>22.320376914016489</v>
          </cell>
          <cell r="S95">
            <v>21.9647104375242</v>
          </cell>
          <cell r="T95">
            <v>23.55080831408776</v>
          </cell>
          <cell r="U95">
            <v>20.907392580731251</v>
          </cell>
          <cell r="V95">
            <v>19.382468013111982</v>
          </cell>
        </row>
        <row r="96">
          <cell r="B96" t="str">
            <v>La Rioja</v>
          </cell>
          <cell r="C96">
            <v>17.608678563006052</v>
          </cell>
          <cell r="D96">
            <v>19.23963133640553</v>
          </cell>
          <cell r="E96">
            <v>19.824835358815942</v>
          </cell>
          <cell r="F96">
            <v>17.488520662806948</v>
          </cell>
          <cell r="G96">
            <v>18.419629579559281</v>
          </cell>
          <cell r="H96">
            <v>19.099073814201514</v>
          </cell>
          <cell r="I96">
            <v>19.361979166666668</v>
          </cell>
          <cell r="J96">
            <v>18.654434250764528</v>
          </cell>
          <cell r="K96">
            <v>17.756171562543095</v>
          </cell>
          <cell r="L96">
            <v>18.007662835249043</v>
          </cell>
          <cell r="M96">
            <v>17.214183692479661</v>
          </cell>
          <cell r="N96">
            <v>18.028057472564772</v>
          </cell>
          <cell r="O96">
            <v>18.614440222157263</v>
          </cell>
          <cell r="P96">
            <v>19.922917284316632</v>
          </cell>
          <cell r="Q96">
            <v>20.152963671128106</v>
          </cell>
          <cell r="R96">
            <v>20.227272727272727</v>
          </cell>
          <cell r="S96">
            <v>21.314369789112313</v>
          </cell>
          <cell r="T96">
            <v>19.442515623450056</v>
          </cell>
          <cell r="U96">
            <v>22.368081037779731</v>
          </cell>
          <cell r="V96">
            <v>20.781257658187521</v>
          </cell>
        </row>
        <row r="97">
          <cell r="B97" t="str">
            <v>Gran Mendoza</v>
          </cell>
          <cell r="C97">
            <v>20.508856339379722</v>
          </cell>
          <cell r="D97">
            <v>21.447970628174822</v>
          </cell>
          <cell r="E97">
            <v>22.687215012276393</v>
          </cell>
          <cell r="F97">
            <v>25.563909774436087</v>
          </cell>
          <cell r="G97">
            <v>21.523809523809522</v>
          </cell>
          <cell r="H97">
            <v>24.225865209471767</v>
          </cell>
          <cell r="I97">
            <v>25.440313111545986</v>
          </cell>
          <cell r="J97">
            <v>21.104536489151872</v>
          </cell>
          <cell r="K97">
            <v>24.162257495590829</v>
          </cell>
          <cell r="L97">
            <v>26.678765880217785</v>
          </cell>
          <cell r="M97">
            <v>24.282982791586999</v>
          </cell>
          <cell r="N97">
            <v>22.718808193668529</v>
          </cell>
          <cell r="O97">
            <v>27.353463587921844</v>
          </cell>
          <cell r="P97">
            <v>26.110124333925398</v>
          </cell>
          <cell r="Q97">
            <v>26.127819548872182</v>
          </cell>
          <cell r="R97">
            <v>26.365348399246702</v>
          </cell>
          <cell r="S97">
            <v>24.764777312076461</v>
          </cell>
          <cell r="T97" t="str">
            <v>...</v>
          </cell>
          <cell r="U97">
            <v>29.730105946949191</v>
          </cell>
          <cell r="V97">
            <v>27.824483174946486</v>
          </cell>
        </row>
        <row r="98">
          <cell r="B98" t="str">
            <v>Posadas</v>
          </cell>
          <cell r="C98" t="str">
            <v>...</v>
          </cell>
          <cell r="D98">
            <v>25.32657438097095</v>
          </cell>
          <cell r="E98">
            <v>27.442960959945918</v>
          </cell>
          <cell r="F98">
            <v>24.649505478037899</v>
          </cell>
          <cell r="G98">
            <v>26.010533024722417</v>
          </cell>
          <cell r="H98">
            <v>30.314426633785452</v>
          </cell>
          <cell r="I98">
            <v>25.011424654404202</v>
          </cell>
          <cell r="J98">
            <v>26.373775843307946</v>
          </cell>
          <cell r="K98">
            <v>25.026609153548822</v>
          </cell>
          <cell r="L98">
            <v>24.200358609520503</v>
          </cell>
          <cell r="M98">
            <v>23.738051077186476</v>
          </cell>
          <cell r="N98">
            <v>26.029063240613699</v>
          </cell>
          <cell r="O98">
            <v>31.060166937166706</v>
          </cell>
          <cell r="P98">
            <v>29.121779859484775</v>
          </cell>
          <cell r="Q98">
            <v>28.784233150396066</v>
          </cell>
          <cell r="R98">
            <v>31.222855946836901</v>
          </cell>
          <cell r="S98">
            <v>27.943635060902793</v>
          </cell>
          <cell r="T98">
            <v>25.776290275453555</v>
          </cell>
          <cell r="U98">
            <v>27.717519762586342</v>
          </cell>
          <cell r="V98">
            <v>28.720834549942932</v>
          </cell>
        </row>
        <row r="99">
          <cell r="B99" t="str">
            <v>Neuquén y Plottier</v>
          </cell>
          <cell r="C99">
            <v>24.022899449035812</v>
          </cell>
          <cell r="D99">
            <v>23.595942321893585</v>
          </cell>
          <cell r="E99">
            <v>22.835785848465871</v>
          </cell>
          <cell r="F99">
            <v>23.641802206019815</v>
          </cell>
          <cell r="G99">
            <v>22.860952663160234</v>
          </cell>
          <cell r="H99">
            <v>23.51369405477622</v>
          </cell>
          <cell r="I99">
            <v>23.399014778325121</v>
          </cell>
          <cell r="J99">
            <v>22.720021270938581</v>
          </cell>
          <cell r="K99">
            <v>22.899710768816842</v>
          </cell>
          <cell r="L99">
            <v>24.752443621031112</v>
          </cell>
          <cell r="M99">
            <v>22.885504021906556</v>
          </cell>
          <cell r="N99">
            <v>17.624161836572338</v>
          </cell>
          <cell r="O99">
            <v>21.291147831988933</v>
          </cell>
          <cell r="P99">
            <v>21.006193060902419</v>
          </cell>
          <cell r="Q99">
            <v>24.889936292536387</v>
          </cell>
          <cell r="R99">
            <v>21.787806143884538</v>
          </cell>
          <cell r="S99">
            <v>19.242043551088777</v>
          </cell>
          <cell r="T99">
            <v>20.49128255805746</v>
          </cell>
          <cell r="U99">
            <v>23.454750934538815</v>
          </cell>
          <cell r="V99">
            <v>20.040063078037761</v>
          </cell>
        </row>
        <row r="100">
          <cell r="B100" t="str">
            <v>Salta</v>
          </cell>
          <cell r="C100">
            <v>21.310791066583175</v>
          </cell>
          <cell r="D100">
            <v>23.405318501781526</v>
          </cell>
          <cell r="E100">
            <v>22.120458807623532</v>
          </cell>
          <cell r="F100">
            <v>23.342360640938839</v>
          </cell>
          <cell r="G100">
            <v>25.258559028784628</v>
          </cell>
          <cell r="H100">
            <v>23.214936247723134</v>
          </cell>
          <cell r="I100">
            <v>23.225144562581608</v>
          </cell>
          <cell r="J100">
            <v>26.621257541835845</v>
          </cell>
          <cell r="K100">
            <v>25.799857640853425</v>
          </cell>
          <cell r="L100">
            <v>22.946001043000049</v>
          </cell>
          <cell r="M100">
            <v>18.863308449909038</v>
          </cell>
          <cell r="N100">
            <v>21.02613129381772</v>
          </cell>
          <cell r="O100">
            <v>24.191125664673898</v>
          </cell>
          <cell r="P100">
            <v>23.739198743126472</v>
          </cell>
          <cell r="Q100">
            <v>26.094098643413506</v>
          </cell>
          <cell r="R100">
            <v>23.855506857062068</v>
          </cell>
          <cell r="S100">
            <v>27.488189714010414</v>
          </cell>
          <cell r="T100">
            <v>23.559564491774619</v>
          </cell>
          <cell r="U100">
            <v>26.900199153268883</v>
          </cell>
          <cell r="V100" t="str">
            <v>...</v>
          </cell>
        </row>
        <row r="101">
          <cell r="B101" t="str">
            <v>Gran San Juan</v>
          </cell>
          <cell r="C101">
            <v>18.247765006385698</v>
          </cell>
          <cell r="D101">
            <v>23.229910489791813</v>
          </cell>
          <cell r="E101">
            <v>17.962731124807398</v>
          </cell>
          <cell r="F101">
            <v>17.269511785815713</v>
          </cell>
          <cell r="G101">
            <v>18.756409294414848</v>
          </cell>
          <cell r="H101">
            <v>22.999336733526977</v>
          </cell>
          <cell r="I101">
            <v>22.658142496815923</v>
          </cell>
          <cell r="J101">
            <v>26.337154323407987</v>
          </cell>
          <cell r="K101">
            <v>23.550128064398098</v>
          </cell>
          <cell r="L101">
            <v>24.351453235484374</v>
          </cell>
          <cell r="M101">
            <v>19.784084403369594</v>
          </cell>
          <cell r="N101">
            <v>19.737043265555727</v>
          </cell>
          <cell r="O101">
            <v>24.241429014541936</v>
          </cell>
          <cell r="P101">
            <v>23.547261116179445</v>
          </cell>
          <cell r="Q101">
            <v>23.218557590493745</v>
          </cell>
          <cell r="R101">
            <v>28.931528161057912</v>
          </cell>
          <cell r="S101">
            <v>24.943392636285797</v>
          </cell>
          <cell r="T101">
            <v>26.26164132770835</v>
          </cell>
          <cell r="U101">
            <v>25.450859033187495</v>
          </cell>
          <cell r="V101" t="str">
            <v>...</v>
          </cell>
        </row>
        <row r="102">
          <cell r="B102" t="str">
            <v>San Luis-El Chorrillo</v>
          </cell>
          <cell r="C102">
            <v>20.202385254788581</v>
          </cell>
          <cell r="D102">
            <v>17.65195093215053</v>
          </cell>
          <cell r="E102">
            <v>21.284286625558156</v>
          </cell>
          <cell r="F102">
            <v>24.199288256227756</v>
          </cell>
          <cell r="G102">
            <v>24.593775819333516</v>
          </cell>
          <cell r="H102">
            <v>25.089150800846177</v>
          </cell>
          <cell r="I102">
            <v>25.783269242892263</v>
          </cell>
          <cell r="J102">
            <v>22.231506238859179</v>
          </cell>
          <cell r="K102">
            <v>25.830953393692653</v>
          </cell>
          <cell r="L102">
            <v>27.491408934707906</v>
          </cell>
          <cell r="M102">
            <v>0</v>
          </cell>
          <cell r="N102">
            <v>25.664616207542124</v>
          </cell>
          <cell r="O102">
            <v>26.748005631159078</v>
          </cell>
          <cell r="P102">
            <v>23.262102974707037</v>
          </cell>
          <cell r="Q102">
            <v>22.29028090156482</v>
          </cell>
          <cell r="R102">
            <v>25.063255552431823</v>
          </cell>
          <cell r="S102">
            <v>29.174207559853148</v>
          </cell>
          <cell r="T102">
            <v>26.4121601284238</v>
          </cell>
          <cell r="U102">
            <v>27.826352175681173</v>
          </cell>
          <cell r="V102">
            <v>27.629340538376862</v>
          </cell>
        </row>
        <row r="103">
          <cell r="B103" t="str">
            <v>Río Gallegos</v>
          </cell>
          <cell r="C103">
            <v>13.926111458985599</v>
          </cell>
          <cell r="D103">
            <v>14.297976701410178</v>
          </cell>
          <cell r="E103">
            <v>10.547588005215124</v>
          </cell>
          <cell r="F103">
            <v>15.933849586559917</v>
          </cell>
          <cell r="G103">
            <v>15.422885572139302</v>
          </cell>
          <cell r="H103">
            <v>18.390804597701148</v>
          </cell>
          <cell r="I103">
            <v>15.391146149181322</v>
          </cell>
          <cell r="J103">
            <v>18.358585858585858</v>
          </cell>
          <cell r="K103">
            <v>20.066240292370946</v>
          </cell>
          <cell r="L103">
            <v>18.261286073524129</v>
          </cell>
          <cell r="M103">
            <v>15.749097472924186</v>
          </cell>
          <cell r="N103">
            <v>13.780071896027286</v>
          </cell>
          <cell r="O103">
            <v>18.498151987740016</v>
          </cell>
          <cell r="P103">
            <v>16.512059369202227</v>
          </cell>
          <cell r="Q103">
            <v>19.252588923908149</v>
          </cell>
          <cell r="R103">
            <v>18.817204301075268</v>
          </cell>
          <cell r="S103">
            <v>15.901576316801231</v>
          </cell>
          <cell r="T103">
            <v>18.168297455968688</v>
          </cell>
          <cell r="U103">
            <v>14.82586262495969</v>
          </cell>
          <cell r="V103" t="str">
            <v>...</v>
          </cell>
        </row>
        <row r="104">
          <cell r="B104" t="str">
            <v>Gran Rosario</v>
          </cell>
          <cell r="C104">
            <v>18.979430584699877</v>
          </cell>
          <cell r="D104">
            <v>20.064024698856159</v>
          </cell>
          <cell r="E104">
            <v>21.057066069704369</v>
          </cell>
          <cell r="F104">
            <v>20.512880658194891</v>
          </cell>
          <cell r="G104">
            <v>20.586031749777302</v>
          </cell>
          <cell r="H104">
            <v>22.720084920578469</v>
          </cell>
          <cell r="I104">
            <v>19.332729783998978</v>
          </cell>
          <cell r="J104">
            <v>21.066752774026888</v>
          </cell>
          <cell r="K104">
            <v>18.458623833676384</v>
          </cell>
          <cell r="L104">
            <v>21.221380616285074</v>
          </cell>
          <cell r="M104">
            <v>18.225853094274147</v>
          </cell>
          <cell r="N104">
            <v>22.002893028506914</v>
          </cell>
          <cell r="O104">
            <v>21.026639608675762</v>
          </cell>
          <cell r="P104">
            <v>18.628478870940402</v>
          </cell>
          <cell r="Q104">
            <v>18.628478870940402</v>
          </cell>
          <cell r="R104">
            <v>19.589488774419284</v>
          </cell>
          <cell r="S104">
            <v>23.977225529558353</v>
          </cell>
          <cell r="T104">
            <v>21.519699923558726</v>
          </cell>
          <cell r="U104">
            <v>20.382548524035041</v>
          </cell>
          <cell r="V104">
            <v>24.007967996672704</v>
          </cell>
        </row>
        <row r="105">
          <cell r="B105" t="str">
            <v>Santa Fe-Santo Tomé</v>
          </cell>
          <cell r="C105">
            <v>16.058355901109461</v>
          </cell>
          <cell r="D105">
            <v>16.439413429379986</v>
          </cell>
          <cell r="E105">
            <v>14.761987136139897</v>
          </cell>
          <cell r="F105">
            <v>15.389505229223108</v>
          </cell>
          <cell r="G105">
            <v>16.886175032885657</v>
          </cell>
          <cell r="H105">
            <v>16.51295494141905</v>
          </cell>
          <cell r="I105">
            <v>16.190009948991676</v>
          </cell>
          <cell r="J105">
            <v>19.264490988796883</v>
          </cell>
          <cell r="K105">
            <v>15.758013845255636</v>
          </cell>
          <cell r="L105">
            <v>15.228478321228684</v>
          </cell>
          <cell r="M105">
            <v>14.267205719369997</v>
          </cell>
          <cell r="N105">
            <v>17.507902518609157</v>
          </cell>
          <cell r="O105">
            <v>17.831177202476429</v>
          </cell>
          <cell r="P105">
            <v>17.196897211591033</v>
          </cell>
          <cell r="Q105">
            <v>17.196897211591033</v>
          </cell>
          <cell r="R105">
            <v>21.788773940411836</v>
          </cell>
          <cell r="S105">
            <v>19.809284172301886</v>
          </cell>
          <cell r="T105">
            <v>17.644871489766778</v>
          </cell>
          <cell r="U105">
            <v>18.18975298943877</v>
          </cell>
          <cell r="V105" t="str">
            <v>...</v>
          </cell>
        </row>
        <row r="106">
          <cell r="B106" t="str">
            <v>Santiago del Estero y La Banda</v>
          </cell>
          <cell r="C106" t="str">
            <v>...</v>
          </cell>
          <cell r="D106">
            <v>20.94909191822639</v>
          </cell>
          <cell r="E106">
            <v>18.919493455616628</v>
          </cell>
          <cell r="F106">
            <v>23.582954075299959</v>
          </cell>
          <cell r="G106">
            <v>22.647274505011001</v>
          </cell>
          <cell r="H106">
            <v>23.08229745858927</v>
          </cell>
          <cell r="I106">
            <v>23.507384440250441</v>
          </cell>
          <cell r="J106">
            <v>26.975511234536732</v>
          </cell>
          <cell r="K106">
            <v>23.529965189575687</v>
          </cell>
          <cell r="L106">
            <v>22.892034595575137</v>
          </cell>
          <cell r="M106">
            <v>24.994139905568762</v>
          </cell>
          <cell r="N106">
            <v>27.083215477739436</v>
          </cell>
          <cell r="O106">
            <v>25.005240540823813</v>
          </cell>
          <cell r="P106">
            <v>23.080649067570842</v>
          </cell>
          <cell r="Q106">
            <v>25.20205160087038</v>
          </cell>
          <cell r="R106">
            <v>30.574845679012348</v>
          </cell>
          <cell r="S106">
            <v>26.461895714587293</v>
          </cell>
          <cell r="T106">
            <v>26.395516170567294</v>
          </cell>
          <cell r="U106">
            <v>29.070844686648499</v>
          </cell>
          <cell r="V106">
            <v>28.158647594278285</v>
          </cell>
        </row>
        <row r="107">
          <cell r="B107" t="str">
            <v>Ushuaia-Río Grande</v>
          </cell>
          <cell r="C107" t="str">
            <v>...</v>
          </cell>
          <cell r="D107">
            <v>22.436087256934162</v>
          </cell>
          <cell r="E107">
            <v>17.969048528849829</v>
          </cell>
          <cell r="F107">
            <v>22.912423625254583</v>
          </cell>
          <cell r="G107">
            <v>21.325986812392738</v>
          </cell>
          <cell r="H107">
            <v>20.110718717190036</v>
          </cell>
          <cell r="I107">
            <v>22.727272727272727</v>
          </cell>
          <cell r="J107">
            <v>21.376811594202898</v>
          </cell>
          <cell r="K107">
            <v>21.440536013400337</v>
          </cell>
          <cell r="L107">
            <v>22.536356246048232</v>
          </cell>
          <cell r="M107">
            <v>18.721772475500639</v>
          </cell>
          <cell r="N107">
            <v>19.594161052293874</v>
          </cell>
          <cell r="O107">
            <v>18.464657764105432</v>
          </cell>
          <cell r="P107">
            <v>17.397023191415713</v>
          </cell>
          <cell r="Q107">
            <v>16.738197424892704</v>
          </cell>
          <cell r="R107">
            <v>18.489026995533113</v>
          </cell>
          <cell r="S107">
            <v>17.831429990069513</v>
          </cell>
          <cell r="T107">
            <v>15.523974137379168</v>
          </cell>
          <cell r="U107">
            <v>17.965981573352234</v>
          </cell>
          <cell r="V107">
            <v>14.506726457399102</v>
          </cell>
        </row>
        <row r="108">
          <cell r="B108" t="str">
            <v>Gran Tucumán y Tafí Viejo</v>
          </cell>
          <cell r="C108">
            <v>19.250365736770419</v>
          </cell>
          <cell r="D108">
            <v>22.881315310133257</v>
          </cell>
          <cell r="E108">
            <v>15.788358608385369</v>
          </cell>
          <cell r="F108">
            <v>23.381146202903597</v>
          </cell>
          <cell r="G108">
            <v>24.371268515207664</v>
          </cell>
          <cell r="H108">
            <v>24.301681813433614</v>
          </cell>
          <cell r="I108">
            <v>24.644756899657814</v>
          </cell>
          <cell r="J108">
            <v>25.340761885109654</v>
          </cell>
          <cell r="K108">
            <v>24.377656344869457</v>
          </cell>
          <cell r="L108">
            <v>21.397492254174917</v>
          </cell>
          <cell r="M108">
            <v>25.588502700156639</v>
          </cell>
          <cell r="N108">
            <v>23.263617511280625</v>
          </cell>
          <cell r="O108">
            <v>22.271283679950823</v>
          </cell>
          <cell r="P108">
            <v>22.009743257312351</v>
          </cell>
          <cell r="Q108">
            <v>21.327692688880528</v>
          </cell>
          <cell r="R108">
            <v>26.054666493593192</v>
          </cell>
          <cell r="S108">
            <v>25.509081415731178</v>
          </cell>
          <cell r="T108">
            <v>24.650038669760246</v>
          </cell>
          <cell r="U108">
            <v>27.929420174880349</v>
          </cell>
          <cell r="V108">
            <v>23.562073695484695</v>
          </cell>
        </row>
        <row r="109">
          <cell r="B109" t="str">
            <v>Total aglomerados del interior</v>
          </cell>
          <cell r="C109">
            <v>19.355502625198042</v>
          </cell>
          <cell r="D109">
            <v>21.604693683672835</v>
          </cell>
          <cell r="E109">
            <v>20.690061565044907</v>
          </cell>
          <cell r="F109">
            <v>22.36561330516744</v>
          </cell>
          <cell r="G109">
            <v>22.264728998532242</v>
          </cell>
          <cell r="H109">
            <v>22.83841693975296</v>
          </cell>
          <cell r="I109">
            <v>22.657273246914542</v>
          </cell>
          <cell r="J109">
            <v>23.418307868311089</v>
          </cell>
          <cell r="K109">
            <v>22.261581315760257</v>
          </cell>
          <cell r="L109">
            <v>21.884131081382094</v>
          </cell>
          <cell r="M109">
            <v>20.401612468914831</v>
          </cell>
          <cell r="N109">
            <v>21.414324759969166</v>
          </cell>
          <cell r="O109">
            <v>22.2997078303401</v>
          </cell>
          <cell r="P109">
            <v>21.987180048442955</v>
          </cell>
          <cell r="Q109">
            <v>21.295185243239096</v>
          </cell>
          <cell r="R109">
            <v>23.273704937411065</v>
          </cell>
          <cell r="S109">
            <v>23.520951022081409</v>
          </cell>
          <cell r="T109">
            <v>21.99375360430367</v>
          </cell>
          <cell r="U109">
            <v>24.886260091119812</v>
          </cell>
          <cell r="V109">
            <v>24.708539093196858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J77"/>
  <sheetViews>
    <sheetView showGridLines="0" tabSelected="1" zoomScale="85" zoomScaleNormal="85" workbookViewId="0">
      <selection activeCell="A4" sqref="A4"/>
    </sheetView>
  </sheetViews>
  <sheetFormatPr baseColWidth="10" defaultColWidth="5.81640625" defaultRowHeight="12.5" x14ac:dyDescent="0.25"/>
  <cols>
    <col min="1" max="1" width="46.7265625" style="4" customWidth="1"/>
    <col min="2" max="11" width="13.54296875" style="42" customWidth="1"/>
    <col min="12" max="62" width="13.54296875" style="4" customWidth="1"/>
    <col min="63" max="88" width="13.54296875" style="42" customWidth="1"/>
    <col min="89" max="265" width="11.453125" style="4" customWidth="1"/>
    <col min="266" max="16384" width="5.81640625" style="4"/>
  </cols>
  <sheetData>
    <row r="1" spans="1:88" s="2" customFormat="1" ht="22.5" customHeight="1" x14ac:dyDescent="0.25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50.15" customHeight="1" x14ac:dyDescent="0.25">
      <c r="A2" s="58" t="s">
        <v>134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</row>
    <row r="3" spans="1:88" s="2" customFormat="1" ht="24" customHeight="1" x14ac:dyDescent="0.25">
      <c r="A3" s="59" t="s">
        <v>66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</row>
    <row r="4" spans="1:88" s="1" customFormat="1" ht="30" customHeight="1" thickBot="1" x14ac:dyDescent="0.3">
      <c r="A4" s="27" t="s">
        <v>161</v>
      </c>
      <c r="B4" s="27" t="s">
        <v>115</v>
      </c>
      <c r="C4" s="27" t="s">
        <v>116</v>
      </c>
      <c r="D4" s="27" t="s">
        <v>117</v>
      </c>
      <c r="E4" s="27" t="s">
        <v>118</v>
      </c>
      <c r="F4" s="27" t="s">
        <v>119</v>
      </c>
      <c r="G4" s="27" t="s">
        <v>120</v>
      </c>
      <c r="H4" s="27" t="s">
        <v>121</v>
      </c>
      <c r="I4" s="27" t="s">
        <v>122</v>
      </c>
      <c r="J4" s="27" t="s">
        <v>123</v>
      </c>
      <c r="K4" s="27" t="s">
        <v>124</v>
      </c>
      <c r="L4" s="27" t="s">
        <v>56</v>
      </c>
      <c r="M4" s="27" t="s">
        <v>57</v>
      </c>
      <c r="N4" s="27" t="s">
        <v>58</v>
      </c>
      <c r="O4" s="27" t="s">
        <v>59</v>
      </c>
      <c r="P4" s="27" t="s">
        <v>60</v>
      </c>
      <c r="Q4" s="27" t="s">
        <v>73</v>
      </c>
      <c r="R4" s="27" t="s">
        <v>125</v>
      </c>
      <c r="S4" s="27" t="s">
        <v>74</v>
      </c>
      <c r="T4" s="27" t="s">
        <v>75</v>
      </c>
      <c r="U4" s="27" t="s">
        <v>76</v>
      </c>
      <c r="V4" s="27" t="s">
        <v>77</v>
      </c>
      <c r="W4" s="27" t="s">
        <v>78</v>
      </c>
      <c r="X4" s="27" t="s">
        <v>79</v>
      </c>
      <c r="Y4" s="27" t="s">
        <v>80</v>
      </c>
      <c r="Z4" s="27" t="s">
        <v>81</v>
      </c>
      <c r="AA4" s="27" t="s">
        <v>82</v>
      </c>
      <c r="AB4" s="27" t="s">
        <v>83</v>
      </c>
      <c r="AC4" s="27" t="s">
        <v>84</v>
      </c>
      <c r="AD4" s="27" t="s">
        <v>85</v>
      </c>
      <c r="AE4" s="27" t="s">
        <v>86</v>
      </c>
      <c r="AF4" s="27" t="s">
        <v>87</v>
      </c>
      <c r="AG4" s="27" t="s">
        <v>88</v>
      </c>
      <c r="AH4" s="27" t="s">
        <v>89</v>
      </c>
      <c r="AI4" s="27" t="s">
        <v>90</v>
      </c>
      <c r="AJ4" s="27" t="s">
        <v>91</v>
      </c>
      <c r="AK4" s="27" t="s">
        <v>92</v>
      </c>
      <c r="AL4" s="27" t="s">
        <v>93</v>
      </c>
      <c r="AM4" s="27" t="s">
        <v>94</v>
      </c>
      <c r="AN4" s="27" t="s">
        <v>95</v>
      </c>
      <c r="AO4" s="27" t="s">
        <v>96</v>
      </c>
      <c r="AP4" s="27" t="s">
        <v>97</v>
      </c>
      <c r="AQ4" s="27" t="s">
        <v>98</v>
      </c>
      <c r="AR4" s="27" t="s">
        <v>126</v>
      </c>
      <c r="AS4" s="27" t="s">
        <v>99</v>
      </c>
      <c r="AT4" s="27" t="s">
        <v>100</v>
      </c>
      <c r="AU4" s="27" t="s">
        <v>101</v>
      </c>
      <c r="AV4" s="27" t="s">
        <v>102</v>
      </c>
      <c r="AW4" s="27" t="s">
        <v>103</v>
      </c>
      <c r="AX4" s="27" t="s">
        <v>127</v>
      </c>
      <c r="AY4" s="27" t="s">
        <v>128</v>
      </c>
      <c r="AZ4" s="27" t="s">
        <v>129</v>
      </c>
      <c r="BA4" s="27" t="s">
        <v>71</v>
      </c>
      <c r="BB4" s="27" t="s">
        <v>72</v>
      </c>
      <c r="BC4" s="27" t="s">
        <v>107</v>
      </c>
      <c r="BD4" s="27" t="s">
        <v>108</v>
      </c>
      <c r="BE4" s="27" t="s">
        <v>109</v>
      </c>
      <c r="BF4" s="27" t="s">
        <v>110</v>
      </c>
      <c r="BG4" s="27" t="s">
        <v>111</v>
      </c>
      <c r="BH4" s="27" t="s">
        <v>112</v>
      </c>
      <c r="BI4" s="27" t="s">
        <v>113</v>
      </c>
      <c r="BJ4" s="27" t="s">
        <v>114</v>
      </c>
      <c r="BK4" s="27" t="s">
        <v>133</v>
      </c>
      <c r="BL4" s="27" t="s">
        <v>136</v>
      </c>
      <c r="BM4" s="27" t="s">
        <v>135</v>
      </c>
      <c r="BN4" s="27" t="s">
        <v>137</v>
      </c>
      <c r="BO4" s="27" t="s">
        <v>138</v>
      </c>
      <c r="BP4" s="27" t="s">
        <v>139</v>
      </c>
      <c r="BQ4" s="27" t="s">
        <v>140</v>
      </c>
      <c r="BR4" s="27" t="s">
        <v>141</v>
      </c>
      <c r="BS4" s="27" t="s">
        <v>142</v>
      </c>
      <c r="BT4" s="27" t="s">
        <v>143</v>
      </c>
      <c r="BU4" s="27" t="s">
        <v>144</v>
      </c>
      <c r="BV4" s="27" t="s">
        <v>145</v>
      </c>
      <c r="BW4" s="27" t="s">
        <v>146</v>
      </c>
      <c r="BX4" s="27" t="s">
        <v>147</v>
      </c>
      <c r="BY4" s="27" t="s">
        <v>148</v>
      </c>
      <c r="BZ4" s="27" t="s">
        <v>149</v>
      </c>
      <c r="CA4" s="27" t="s">
        <v>150</v>
      </c>
      <c r="CB4" s="27" t="s">
        <v>151</v>
      </c>
      <c r="CC4" s="27" t="s">
        <v>152</v>
      </c>
      <c r="CD4" s="27" t="s">
        <v>153</v>
      </c>
      <c r="CE4" s="27" t="s">
        <v>154</v>
      </c>
      <c r="CF4" s="27" t="s">
        <v>155</v>
      </c>
      <c r="CG4" s="27" t="s">
        <v>157</v>
      </c>
      <c r="CH4" s="27" t="s">
        <v>158</v>
      </c>
      <c r="CI4" s="27" t="s">
        <v>159</v>
      </c>
      <c r="CJ4" s="27" t="s">
        <v>160</v>
      </c>
    </row>
    <row r="5" spans="1:88" s="8" customFormat="1" ht="30" customHeight="1" thickBot="1" x14ac:dyDescent="0.3">
      <c r="A5" s="5" t="s">
        <v>1</v>
      </c>
      <c r="B5" s="6">
        <v>8428.6607814134259</v>
      </c>
      <c r="C5" s="6">
        <v>8642.2982147932398</v>
      </c>
      <c r="D5" s="6">
        <v>8674.6768953120936</v>
      </c>
      <c r="E5" s="6">
        <v>8854.3642654804698</v>
      </c>
      <c r="F5" s="6">
        <v>9022.6342562945611</v>
      </c>
      <c r="G5" s="6">
        <v>9164.9191340891684</v>
      </c>
      <c r="H5" s="6">
        <v>9085.0120857669754</v>
      </c>
      <c r="I5" s="6">
        <v>9194.723591471391</v>
      </c>
      <c r="J5" s="6">
        <v>9533.4264321252977</v>
      </c>
      <c r="K5" s="6">
        <v>9675.1195484078107</v>
      </c>
      <c r="L5" s="6">
        <v>9559.9556131773388</v>
      </c>
      <c r="M5" s="6">
        <v>9845.7724337510499</v>
      </c>
      <c r="N5" s="6">
        <v>9907.8635229673146</v>
      </c>
      <c r="O5" s="6">
        <v>10092.258136088674</v>
      </c>
      <c r="P5" s="6">
        <v>10056.042184076767</v>
      </c>
      <c r="Q5" s="6">
        <v>10218.247407916897</v>
      </c>
      <c r="R5" s="56">
        <f>+(Q5+S5)/2</f>
        <v>10239.471091039486</v>
      </c>
      <c r="S5" s="7">
        <v>10260.694774162075</v>
      </c>
      <c r="T5" s="6">
        <v>10278.726109893787</v>
      </c>
      <c r="U5" s="6">
        <v>10363.867582095934</v>
      </c>
      <c r="V5" s="6">
        <v>10348.94748382429</v>
      </c>
      <c r="W5" s="6">
        <v>10609.827981157536</v>
      </c>
      <c r="X5" s="6">
        <v>10588.211459522136</v>
      </c>
      <c r="Y5" s="6">
        <v>10530.463206769389</v>
      </c>
      <c r="Z5" s="6">
        <v>10472.140748066566</v>
      </c>
      <c r="AA5" s="6">
        <v>10649.729447720456</v>
      </c>
      <c r="AB5" s="6">
        <v>10625.336464346121</v>
      </c>
      <c r="AC5" s="6">
        <v>10696.280480602607</v>
      </c>
      <c r="AD5" s="6">
        <v>10734.002810106818</v>
      </c>
      <c r="AE5" s="6">
        <v>10746.860260345524</v>
      </c>
      <c r="AF5" s="6">
        <v>10752.321770182729</v>
      </c>
      <c r="AG5" s="6">
        <v>11000.542360644809</v>
      </c>
      <c r="AH5" s="6">
        <v>11086.6221461613</v>
      </c>
      <c r="AI5" s="6">
        <v>11028.032027450301</v>
      </c>
      <c r="AJ5" s="6">
        <v>10889.658795995419</v>
      </c>
      <c r="AK5" s="6">
        <v>11066.85636912148</v>
      </c>
      <c r="AL5" s="6">
        <v>11215.104324125554</v>
      </c>
      <c r="AM5" s="6">
        <v>11209.372483653267</v>
      </c>
      <c r="AN5" s="6">
        <v>10984.545977576412</v>
      </c>
      <c r="AO5" s="6">
        <v>11251.506843676625</v>
      </c>
      <c r="AP5" s="6">
        <v>11253.662427054998</v>
      </c>
      <c r="AQ5" s="6">
        <v>11222.036261092533</v>
      </c>
      <c r="AR5" s="6">
        <v>11009.539345316653</v>
      </c>
      <c r="AS5" s="6">
        <v>10900.238801164645</v>
      </c>
      <c r="AT5" s="6">
        <v>10933.442786131027</v>
      </c>
      <c r="AU5" s="6">
        <v>11139.906911326032</v>
      </c>
      <c r="AV5" s="6">
        <v>11010.387079831535</v>
      </c>
      <c r="AW5" s="6">
        <v>11060.499203812953</v>
      </c>
      <c r="AX5" s="56">
        <f>+(AW5+BA5)/2</f>
        <v>11229.576395369639</v>
      </c>
      <c r="AY5" s="56">
        <f>+(AX5+BA5)/2</f>
        <v>11314.114991147981</v>
      </c>
      <c r="AZ5" s="56">
        <f>+(AY5+BA5)/2</f>
        <v>11356.384289037152</v>
      </c>
      <c r="BA5" s="32">
        <v>11398.653586926324</v>
      </c>
      <c r="BB5" s="6">
        <v>11614.217355865918</v>
      </c>
      <c r="BC5" s="6">
        <v>11596.749778407877</v>
      </c>
      <c r="BD5" s="6">
        <v>11460.821495907849</v>
      </c>
      <c r="BE5" s="6">
        <v>11511.047376056702</v>
      </c>
      <c r="BF5" s="6">
        <v>11810.800631856953</v>
      </c>
      <c r="BG5" s="6">
        <v>12011.327128334033</v>
      </c>
      <c r="BH5" s="6">
        <v>11866.38095562735</v>
      </c>
      <c r="BI5" s="6">
        <v>11757.598415188735</v>
      </c>
      <c r="BJ5" s="6">
        <v>11937.879062599643</v>
      </c>
      <c r="BK5" s="6">
        <v>11908.971387077463</v>
      </c>
      <c r="BL5" s="6">
        <v>11847.659</v>
      </c>
      <c r="BM5" s="6">
        <v>11966.762000000001</v>
      </c>
      <c r="BN5" s="6">
        <v>12109.031462857258</v>
      </c>
      <c r="BO5" s="6">
        <v>12142.284</v>
      </c>
      <c r="BP5" s="6">
        <v>11945.062</v>
      </c>
      <c r="BQ5" s="6">
        <v>9450.1319999999996</v>
      </c>
      <c r="BR5" s="6">
        <v>10571.138999999999</v>
      </c>
      <c r="BS5" s="6">
        <v>11421.757</v>
      </c>
      <c r="BT5" s="6">
        <v>11863.057000000001</v>
      </c>
      <c r="BU5" s="6">
        <v>11825.154</v>
      </c>
      <c r="BV5" s="6">
        <v>12222.646000000001</v>
      </c>
      <c r="BW5" s="6">
        <v>12506.453</v>
      </c>
      <c r="BX5" s="6">
        <v>12405.266</v>
      </c>
      <c r="BY5" s="6">
        <v>12795.695</v>
      </c>
      <c r="BZ5" s="6">
        <v>12711.513000000001</v>
      </c>
      <c r="CA5" s="6">
        <v>12882.109</v>
      </c>
      <c r="CB5" s="6">
        <v>13005.392</v>
      </c>
      <c r="CC5" s="6">
        <v>12892.468999999999</v>
      </c>
      <c r="CD5" s="6">
        <v>13192.662</v>
      </c>
      <c r="CE5" s="6">
        <v>13242.699000000001</v>
      </c>
      <c r="CF5" s="6">
        <v>12882.191000000001</v>
      </c>
      <c r="CG5" s="6">
        <v>13084.914000000001</v>
      </c>
      <c r="CH5" s="6">
        <v>13192.098</v>
      </c>
      <c r="CI5" s="6">
        <v>13454.983</v>
      </c>
      <c r="CJ5" s="6">
        <v>13143.252</v>
      </c>
    </row>
    <row r="6" spans="1:88" ht="20.149999999999999" customHeight="1" thickBot="1" x14ac:dyDescent="0.3">
      <c r="A6" s="9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39"/>
      <c r="S6" s="9"/>
      <c r="T6" s="9"/>
      <c r="U6" s="9"/>
      <c r="V6" s="9"/>
      <c r="W6" s="9"/>
      <c r="X6" s="9"/>
      <c r="Y6" s="10"/>
      <c r="Z6" s="10"/>
      <c r="AA6" s="10"/>
      <c r="AB6" s="10"/>
      <c r="AC6" s="10"/>
      <c r="AD6" s="10"/>
      <c r="AE6" s="10"/>
      <c r="AF6" s="10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39"/>
      <c r="AY6" s="39"/>
      <c r="AZ6" s="39"/>
      <c r="BA6" s="33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</row>
    <row r="7" spans="1:88" ht="20.149999999999999" customHeight="1" x14ac:dyDescent="0.25">
      <c r="A7" s="12" t="s">
        <v>3</v>
      </c>
      <c r="B7" s="49">
        <v>4940.3891532493817</v>
      </c>
      <c r="C7" s="49">
        <v>5193.2209972993933</v>
      </c>
      <c r="D7" s="49">
        <v>5242.3221570896594</v>
      </c>
      <c r="E7" s="49">
        <v>5251.0032016122586</v>
      </c>
      <c r="F7" s="49">
        <v>5403.0477317625191</v>
      </c>
      <c r="G7" s="49">
        <v>5477.5996335315904</v>
      </c>
      <c r="H7" s="49">
        <v>5455.8784948919674</v>
      </c>
      <c r="I7" s="49">
        <v>5488.3285466976367</v>
      </c>
      <c r="J7" s="49">
        <v>5702.3705223746701</v>
      </c>
      <c r="K7" s="49">
        <v>5710.1378361743573</v>
      </c>
      <c r="L7" s="13">
        <v>5662.045272347048</v>
      </c>
      <c r="M7" s="13">
        <v>5805.7137303864183</v>
      </c>
      <c r="N7" s="13">
        <v>5829.1439535381223</v>
      </c>
      <c r="O7" s="13">
        <v>5917.5321592488326</v>
      </c>
      <c r="P7" s="13">
        <v>5954.0601764774774</v>
      </c>
      <c r="Q7" s="13">
        <v>6019.7900831490188</v>
      </c>
      <c r="R7" s="56">
        <f t="shared" ref="R7:R8" si="0">+(Q7+S7)/2</f>
        <v>6045.0436980589639</v>
      </c>
      <c r="S7" s="14">
        <v>6070.297312968908</v>
      </c>
      <c r="T7" s="13">
        <v>6023.318002953496</v>
      </c>
      <c r="U7" s="13">
        <v>6067.643966892414</v>
      </c>
      <c r="V7" s="13">
        <v>6103.1917283397925</v>
      </c>
      <c r="W7" s="13">
        <v>6188.8596107471549</v>
      </c>
      <c r="X7" s="13">
        <v>6125.1171253117873</v>
      </c>
      <c r="Y7" s="13">
        <v>6082.5974576088665</v>
      </c>
      <c r="Z7" s="13">
        <v>6060.4506860943502</v>
      </c>
      <c r="AA7" s="13">
        <v>6159.7603066818556</v>
      </c>
      <c r="AB7" s="13">
        <v>6207.6067770957752</v>
      </c>
      <c r="AC7" s="13">
        <v>6239.4255282498889</v>
      </c>
      <c r="AD7" s="13">
        <v>6241.4501478835564</v>
      </c>
      <c r="AE7" s="13">
        <v>6336.6175961229028</v>
      </c>
      <c r="AF7" s="13">
        <v>6379.3112684003436</v>
      </c>
      <c r="AG7" s="13">
        <v>6438.4745627275015</v>
      </c>
      <c r="AH7" s="13">
        <v>6497.7134129722581</v>
      </c>
      <c r="AI7" s="13">
        <v>6499.7135272959285</v>
      </c>
      <c r="AJ7" s="13">
        <v>6350.3773936735279</v>
      </c>
      <c r="AK7" s="13">
        <v>6397.9189054933386</v>
      </c>
      <c r="AL7" s="13">
        <v>6606.2192211584897</v>
      </c>
      <c r="AM7" s="13">
        <v>6623.6564379782021</v>
      </c>
      <c r="AN7" s="13">
        <v>6451.8185756640751</v>
      </c>
      <c r="AO7" s="13">
        <v>6577.5731995927899</v>
      </c>
      <c r="AP7" s="13">
        <v>6617.8637210119232</v>
      </c>
      <c r="AQ7" s="13">
        <v>6541.7187306214728</v>
      </c>
      <c r="AR7" s="13">
        <v>6463.955003759902</v>
      </c>
      <c r="AS7" s="13">
        <v>6412.1246979199432</v>
      </c>
      <c r="AT7" s="13">
        <v>6390.6157803200676</v>
      </c>
      <c r="AU7" s="13">
        <v>6446.5693313270667</v>
      </c>
      <c r="AV7" s="13">
        <v>6440.4868600427526</v>
      </c>
      <c r="AW7" s="13">
        <v>6520.3136223690581</v>
      </c>
      <c r="AX7" s="56">
        <f t="shared" ref="AX7:AX8" si="1">+(AW7+BA7)/2</f>
        <v>6558.2904781159996</v>
      </c>
      <c r="AY7" s="56">
        <f t="shared" ref="AY7:AY8" si="2">+(AX7+BA7)/2</f>
        <v>6577.2789059894712</v>
      </c>
      <c r="AZ7" s="56">
        <f t="shared" ref="AZ7:AZ8" si="3">+(AY7+BA7)/2</f>
        <v>6586.7731199262071</v>
      </c>
      <c r="BA7" s="34">
        <v>6596.267333862942</v>
      </c>
      <c r="BB7" s="13">
        <v>6611.2023138933992</v>
      </c>
      <c r="BC7" s="13">
        <v>6658.5121993932034</v>
      </c>
      <c r="BD7" s="13">
        <v>6653.506546071877</v>
      </c>
      <c r="BE7" s="13">
        <v>6584.5279295909995</v>
      </c>
      <c r="BF7" s="13">
        <v>6772.8904866415878</v>
      </c>
      <c r="BG7" s="13">
        <v>6905.2477746072582</v>
      </c>
      <c r="BH7" s="13">
        <v>6762.9451580056584</v>
      </c>
      <c r="BI7" s="13">
        <v>6636.0044565979042</v>
      </c>
      <c r="BJ7" s="13">
        <v>6756.688078524754</v>
      </c>
      <c r="BK7" s="49">
        <v>6707.3824935159064</v>
      </c>
      <c r="BL7" s="49">
        <v>6747.67</v>
      </c>
      <c r="BM7" s="49">
        <v>6723.56</v>
      </c>
      <c r="BN7" s="49">
        <v>6904.0510037696522</v>
      </c>
      <c r="BO7" s="49">
        <v>6820.0460000000003</v>
      </c>
      <c r="BP7" s="49">
        <v>6672.8770000000004</v>
      </c>
      <c r="BQ7" s="49">
        <v>5338.3289999999997</v>
      </c>
      <c r="BR7" s="49">
        <v>6010.6459999999997</v>
      </c>
      <c r="BS7" s="49">
        <v>6434.6289999999999</v>
      </c>
      <c r="BT7" s="49">
        <v>6892.067</v>
      </c>
      <c r="BU7" s="49">
        <v>6818.1239999999998</v>
      </c>
      <c r="BV7" s="49">
        <v>6895.2879999999996</v>
      </c>
      <c r="BW7" s="49">
        <v>7091.0249999999996</v>
      </c>
      <c r="BX7" s="49">
        <v>7036.6530000000002</v>
      </c>
      <c r="BY7" s="49">
        <v>7218.4840000000004</v>
      </c>
      <c r="BZ7" s="49">
        <v>7213.5789999999997</v>
      </c>
      <c r="CA7" s="49">
        <v>7279.6710000000003</v>
      </c>
      <c r="CB7" s="49">
        <v>7321.3969999999999</v>
      </c>
      <c r="CC7" s="49">
        <v>7238.7979999999998</v>
      </c>
      <c r="CD7" s="49">
        <v>7404.0739999999996</v>
      </c>
      <c r="CE7" s="49">
        <v>7448.8680000000004</v>
      </c>
      <c r="CF7" s="49">
        <v>7198.2849999999999</v>
      </c>
      <c r="CG7" s="49">
        <v>7310.6509999999998</v>
      </c>
      <c r="CH7" s="49">
        <v>7431.2340000000004</v>
      </c>
      <c r="CI7" s="49">
        <v>7481.3389999999999</v>
      </c>
      <c r="CJ7" s="49">
        <v>7405.107</v>
      </c>
    </row>
    <row r="8" spans="1:88" ht="20.149999999999999" customHeight="1" x14ac:dyDescent="0.25">
      <c r="A8" s="12" t="s">
        <v>4</v>
      </c>
      <c r="B8" s="49">
        <v>3488.2716281640442</v>
      </c>
      <c r="C8" s="49">
        <v>3449.0772174938461</v>
      </c>
      <c r="D8" s="49">
        <v>3432.3547382224347</v>
      </c>
      <c r="E8" s="49">
        <v>3603.3610638682112</v>
      </c>
      <c r="F8" s="49">
        <v>3619.586524532041</v>
      </c>
      <c r="G8" s="49">
        <v>3687.3195005575776</v>
      </c>
      <c r="H8" s="49">
        <v>3629.1335908750084</v>
      </c>
      <c r="I8" s="49">
        <v>3706.3950447737543</v>
      </c>
      <c r="J8" s="49">
        <v>3831.0559097506271</v>
      </c>
      <c r="K8" s="49">
        <v>3964.9817122334525</v>
      </c>
      <c r="L8" s="13">
        <v>3897.9103408302913</v>
      </c>
      <c r="M8" s="13">
        <v>4040.0587033646316</v>
      </c>
      <c r="N8" s="13">
        <v>4078.7195694291913</v>
      </c>
      <c r="O8" s="13">
        <v>4174.7259768398417</v>
      </c>
      <c r="P8" s="13">
        <v>4101.9820075992893</v>
      </c>
      <c r="Q8" s="13">
        <v>4198.4573247678782</v>
      </c>
      <c r="R8" s="56">
        <f t="shared" si="0"/>
        <v>4194.4273929805231</v>
      </c>
      <c r="S8" s="14">
        <v>4190.3974611931681</v>
      </c>
      <c r="T8" s="13">
        <v>4255.4081069402919</v>
      </c>
      <c r="U8" s="13">
        <v>4296.2236152035193</v>
      </c>
      <c r="V8" s="13">
        <v>4245.755755484498</v>
      </c>
      <c r="W8" s="13">
        <v>4420.9683704103818</v>
      </c>
      <c r="X8" s="13">
        <v>4463.0943342103492</v>
      </c>
      <c r="Y8" s="13">
        <v>4447.8657491605227</v>
      </c>
      <c r="Z8" s="13">
        <v>4411.6900619722155</v>
      </c>
      <c r="AA8" s="13">
        <v>4489.9691410385994</v>
      </c>
      <c r="AB8" s="13">
        <v>4417.7296872503457</v>
      </c>
      <c r="AC8" s="13">
        <v>4456.854952352719</v>
      </c>
      <c r="AD8" s="13">
        <v>4492.5526622232619</v>
      </c>
      <c r="AE8" s="13">
        <v>4410.242664222621</v>
      </c>
      <c r="AF8" s="13">
        <v>4373.0105017823853</v>
      </c>
      <c r="AG8" s="13">
        <v>4562.0677979173079</v>
      </c>
      <c r="AH8" s="13">
        <v>4588.9087331890432</v>
      </c>
      <c r="AI8" s="13">
        <v>4528.3185001543725</v>
      </c>
      <c r="AJ8" s="13">
        <v>4539.2814023218907</v>
      </c>
      <c r="AK8" s="13">
        <v>4668.9374636281409</v>
      </c>
      <c r="AL8" s="13">
        <v>4608.885102967065</v>
      </c>
      <c r="AM8" s="13">
        <v>4585.7160456750662</v>
      </c>
      <c r="AN8" s="13">
        <v>4532.727401912337</v>
      </c>
      <c r="AO8" s="13">
        <v>4673.9336440838351</v>
      </c>
      <c r="AP8" s="13">
        <v>4635.7987060430742</v>
      </c>
      <c r="AQ8" s="13">
        <v>4680.3175304710612</v>
      </c>
      <c r="AR8" s="13">
        <v>4545.5843415567506</v>
      </c>
      <c r="AS8" s="13">
        <v>4488.1141032447022</v>
      </c>
      <c r="AT8" s="13">
        <v>4542.8270058109601</v>
      </c>
      <c r="AU8" s="13">
        <v>4693.3375799989662</v>
      </c>
      <c r="AV8" s="13">
        <v>4569.9002197887821</v>
      </c>
      <c r="AW8" s="13">
        <v>4540.1855814438941</v>
      </c>
      <c r="AX8" s="56">
        <f t="shared" si="1"/>
        <v>4671.2859172536382</v>
      </c>
      <c r="AY8" s="56">
        <f t="shared" si="2"/>
        <v>4736.8360851585103</v>
      </c>
      <c r="AZ8" s="56">
        <f t="shared" si="3"/>
        <v>4769.6111691109463</v>
      </c>
      <c r="BA8" s="34">
        <v>4802.3862530633824</v>
      </c>
      <c r="BB8" s="13">
        <v>5003.0150419725187</v>
      </c>
      <c r="BC8" s="13">
        <v>4938.2375790146743</v>
      </c>
      <c r="BD8" s="13">
        <v>4807.3149498359717</v>
      </c>
      <c r="BE8" s="13">
        <v>4926.5194464657015</v>
      </c>
      <c r="BF8" s="13">
        <v>5037.9101452153664</v>
      </c>
      <c r="BG8" s="13">
        <v>5106.0793537267728</v>
      </c>
      <c r="BH8" s="13">
        <v>5103.4357976216907</v>
      </c>
      <c r="BI8" s="13">
        <v>5121.5939585908309</v>
      </c>
      <c r="BJ8" s="13">
        <v>5181.1909840748876</v>
      </c>
      <c r="BK8" s="49">
        <v>5201.5888935615576</v>
      </c>
      <c r="BL8" s="49">
        <v>5099.9889999999996</v>
      </c>
      <c r="BM8" s="49">
        <v>5243.2020000000002</v>
      </c>
      <c r="BN8" s="49">
        <v>5204.9804590876056</v>
      </c>
      <c r="BO8" s="49">
        <v>5322.2380000000003</v>
      </c>
      <c r="BP8" s="49">
        <v>5272.1850000000004</v>
      </c>
      <c r="BQ8" s="49">
        <v>4111.8029999999999</v>
      </c>
      <c r="BR8" s="49">
        <v>4560.4930000000004</v>
      </c>
      <c r="BS8" s="49">
        <v>4987.1279999999997</v>
      </c>
      <c r="BT8" s="49">
        <v>4970.99</v>
      </c>
      <c r="BU8" s="49">
        <v>5007.03</v>
      </c>
      <c r="BV8" s="49">
        <v>5327.3580000000002</v>
      </c>
      <c r="BW8" s="49">
        <v>5415.4279999999999</v>
      </c>
      <c r="BX8" s="49">
        <v>5368.6130000000003</v>
      </c>
      <c r="BY8" s="49">
        <v>5577.2110000000002</v>
      </c>
      <c r="BZ8" s="49">
        <v>5497.9340000000002</v>
      </c>
      <c r="CA8" s="49">
        <v>5602.4380000000001</v>
      </c>
      <c r="CB8" s="49">
        <v>5683.9949999999999</v>
      </c>
      <c r="CC8" s="49">
        <v>5653.6710000000003</v>
      </c>
      <c r="CD8" s="49">
        <v>5788.5879999999997</v>
      </c>
      <c r="CE8" s="49">
        <v>5793.8310000000001</v>
      </c>
      <c r="CF8" s="49">
        <v>5683.9059999999999</v>
      </c>
      <c r="CG8" s="49">
        <v>5774.2629999999999</v>
      </c>
      <c r="CH8" s="49">
        <v>5760.8639999999996</v>
      </c>
      <c r="CI8" s="49">
        <v>5973.6440000000002</v>
      </c>
      <c r="CJ8" s="49">
        <v>5738.1450000000004</v>
      </c>
    </row>
    <row r="9" spans="1:88" ht="20.149999999999999" customHeight="1" thickBot="1" x14ac:dyDescent="0.3">
      <c r="A9" s="15" t="s">
        <v>68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40"/>
      <c r="S9" s="15"/>
      <c r="T9" s="15"/>
      <c r="U9" s="15"/>
      <c r="V9" s="15"/>
      <c r="W9" s="15"/>
      <c r="X9" s="15"/>
      <c r="Y9" s="16"/>
      <c r="Z9" s="16"/>
      <c r="AA9" s="16"/>
      <c r="AB9" s="16"/>
      <c r="AC9" s="16"/>
      <c r="AD9" s="16"/>
      <c r="AE9" s="16"/>
      <c r="AF9" s="16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40"/>
      <c r="AY9" s="40"/>
      <c r="AZ9" s="40"/>
      <c r="BA9" s="3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</row>
    <row r="10" spans="1:88" ht="20.149999999999999" customHeight="1" x14ac:dyDescent="0.25">
      <c r="A10" s="12" t="s">
        <v>5</v>
      </c>
      <c r="B10" s="49">
        <v>1273.3120430359536</v>
      </c>
      <c r="C10" s="49">
        <v>1318.2780427466519</v>
      </c>
      <c r="D10" s="49">
        <v>1358.3820833768605</v>
      </c>
      <c r="E10" s="49">
        <v>1351.6749978880703</v>
      </c>
      <c r="F10" s="49">
        <v>1385.9223174202714</v>
      </c>
      <c r="G10" s="49">
        <v>1413.218403189185</v>
      </c>
      <c r="H10" s="49">
        <v>1339.6001200539458</v>
      </c>
      <c r="I10" s="49">
        <v>1374.1694550125603</v>
      </c>
      <c r="J10" s="49">
        <v>1453.6723998956095</v>
      </c>
      <c r="K10" s="49">
        <v>1446.0193601238973</v>
      </c>
      <c r="L10" s="13">
        <v>1420.431999169313</v>
      </c>
      <c r="M10" s="13">
        <v>1478.3684372220987</v>
      </c>
      <c r="N10" s="13">
        <v>1472.4495424084519</v>
      </c>
      <c r="O10" s="13">
        <v>1534.2029869843477</v>
      </c>
      <c r="P10" s="13">
        <v>1530.6744649735815</v>
      </c>
      <c r="Q10" s="13">
        <v>1455.6299302656014</v>
      </c>
      <c r="R10" s="56">
        <f t="shared" ref="R10:R14" si="4">+(Q10+S10)/2</f>
        <v>1527.7709135815871</v>
      </c>
      <c r="S10" s="14">
        <v>1599.9118968975731</v>
      </c>
      <c r="T10" s="13">
        <v>1470.3695265870419</v>
      </c>
      <c r="U10" s="13">
        <v>1481.5853814791326</v>
      </c>
      <c r="V10" s="13">
        <v>1526.9437423883123</v>
      </c>
      <c r="W10" s="13">
        <v>1570.0987926800888</v>
      </c>
      <c r="X10" s="13">
        <v>1505.5587419202639</v>
      </c>
      <c r="Y10" s="13">
        <v>1445.157455654457</v>
      </c>
      <c r="Z10" s="13">
        <v>1426.3720193936385</v>
      </c>
      <c r="AA10" s="13">
        <v>1444.6336785101207</v>
      </c>
      <c r="AB10" s="13">
        <v>1429.5673127733969</v>
      </c>
      <c r="AC10" s="13">
        <v>1450.1745191858008</v>
      </c>
      <c r="AD10" s="13">
        <v>1413.8234254912095</v>
      </c>
      <c r="AE10" s="13">
        <v>1464.393451515477</v>
      </c>
      <c r="AF10" s="13">
        <v>1411.1886184681714</v>
      </c>
      <c r="AG10" s="13">
        <v>1501.0431872313698</v>
      </c>
      <c r="AH10" s="13">
        <v>1416.84002253366</v>
      </c>
      <c r="AI10" s="13">
        <v>1421.0682130784385</v>
      </c>
      <c r="AJ10" s="13">
        <v>1394.9479505437093</v>
      </c>
      <c r="AK10" s="13">
        <v>1494.0959349258326</v>
      </c>
      <c r="AL10" s="13">
        <v>1549.7781510250582</v>
      </c>
      <c r="AM10" s="13">
        <v>1453.5836590209346</v>
      </c>
      <c r="AN10" s="13">
        <v>1449.6870658844314</v>
      </c>
      <c r="AO10" s="13">
        <v>1473.4758643482162</v>
      </c>
      <c r="AP10" s="13">
        <v>1423.1473475464879</v>
      </c>
      <c r="AQ10" s="13">
        <v>1456.3369170570952</v>
      </c>
      <c r="AR10" s="13">
        <v>1451.2732254408957</v>
      </c>
      <c r="AS10" s="13">
        <v>1405.9110136315969</v>
      </c>
      <c r="AT10" s="13">
        <v>1381.6234923425425</v>
      </c>
      <c r="AU10" s="13">
        <v>1501.428762720763</v>
      </c>
      <c r="AV10" s="13">
        <v>1378.8751156789326</v>
      </c>
      <c r="AW10" s="13">
        <v>1352.8036969662198</v>
      </c>
      <c r="AX10" s="56">
        <f t="shared" ref="AX10:AX14" si="5">+(AW10+BA10)/2</f>
        <v>1358.7166280004303</v>
      </c>
      <c r="AY10" s="56">
        <f t="shared" ref="AY10:AY14" si="6">+(AX10+BA10)/2</f>
        <v>1361.6730935175356</v>
      </c>
      <c r="AZ10" s="56">
        <f t="shared" ref="AZ10:AZ14" si="7">+(AY10+BA10)/2</f>
        <v>1363.1513262760882</v>
      </c>
      <c r="BA10" s="34">
        <v>1364.6295590346406</v>
      </c>
      <c r="BB10" s="13">
        <v>1387.7921550378755</v>
      </c>
      <c r="BC10" s="13">
        <v>1348.0502363024602</v>
      </c>
      <c r="BD10" s="13">
        <v>1357.0085755633459</v>
      </c>
      <c r="BE10" s="13">
        <v>1402.7504026237032</v>
      </c>
      <c r="BF10" s="13">
        <v>1429.2795156460829</v>
      </c>
      <c r="BG10" s="13">
        <v>1474.6114296554158</v>
      </c>
      <c r="BH10" s="13">
        <v>1415.1536550933927</v>
      </c>
      <c r="BI10" s="13">
        <v>1341.4144969104079</v>
      </c>
      <c r="BJ10" s="13">
        <v>1360.0172582974874</v>
      </c>
      <c r="BK10" s="49">
        <v>1423.7523370206784</v>
      </c>
      <c r="BL10" s="49">
        <v>1308.3589999999999</v>
      </c>
      <c r="BM10" s="49">
        <v>1299.1120000000001</v>
      </c>
      <c r="BN10" s="49">
        <v>1257.7597133409533</v>
      </c>
      <c r="BO10" s="49">
        <v>1317.105</v>
      </c>
      <c r="BP10" s="49">
        <v>1306.088</v>
      </c>
      <c r="BQ10" s="49">
        <v>768.99199999999996</v>
      </c>
      <c r="BR10" s="49">
        <v>932.19100000000003</v>
      </c>
      <c r="BS10" s="49">
        <v>1228.0820000000001</v>
      </c>
      <c r="BT10" s="49">
        <v>1288.7670000000001</v>
      </c>
      <c r="BU10" s="49">
        <v>1296.1559999999999</v>
      </c>
      <c r="BV10" s="49">
        <v>1215.748</v>
      </c>
      <c r="BW10" s="49">
        <v>1314.6</v>
      </c>
      <c r="BX10" s="49">
        <v>1279.6379999999999</v>
      </c>
      <c r="BY10" s="49">
        <v>1337.9559999999999</v>
      </c>
      <c r="BZ10" s="49">
        <v>1389.87</v>
      </c>
      <c r="CA10" s="49">
        <v>1375.2919999999999</v>
      </c>
      <c r="CB10" s="49">
        <v>1436.836</v>
      </c>
      <c r="CC10" s="49">
        <v>1397.7049999999999</v>
      </c>
      <c r="CD10" s="49">
        <v>1451.903</v>
      </c>
      <c r="CE10" s="49">
        <v>1413.585</v>
      </c>
      <c r="CF10" s="49">
        <v>1426.174</v>
      </c>
      <c r="CG10" s="49">
        <v>1416.172</v>
      </c>
      <c r="CH10" s="49">
        <v>1375.8119999999999</v>
      </c>
      <c r="CI10" s="49">
        <v>1423.723</v>
      </c>
      <c r="CJ10" s="49">
        <v>1435.7090000000001</v>
      </c>
    </row>
    <row r="11" spans="1:88" ht="20.149999999999999" customHeight="1" x14ac:dyDescent="0.25">
      <c r="A11" s="12" t="s">
        <v>6</v>
      </c>
      <c r="B11" s="49">
        <v>2118.2530868352283</v>
      </c>
      <c r="C11" s="49">
        <v>2235.6459873358517</v>
      </c>
      <c r="D11" s="49">
        <v>2209.1133999466342</v>
      </c>
      <c r="E11" s="49">
        <v>2320.9029641017346</v>
      </c>
      <c r="F11" s="49">
        <v>2371.5712976843279</v>
      </c>
      <c r="G11" s="49">
        <v>2451.9100139706616</v>
      </c>
      <c r="H11" s="49">
        <v>2358.4669515275773</v>
      </c>
      <c r="I11" s="49">
        <v>2379.0423985259695</v>
      </c>
      <c r="J11" s="49">
        <v>2489.969295693556</v>
      </c>
      <c r="K11" s="49">
        <v>2601.09744212228</v>
      </c>
      <c r="L11" s="13">
        <v>2506.2750876644436</v>
      </c>
      <c r="M11" s="13">
        <v>2635.399225816052</v>
      </c>
      <c r="N11" s="13">
        <v>2734.590267972701</v>
      </c>
      <c r="O11" s="13">
        <v>2742.7233539086847</v>
      </c>
      <c r="P11" s="13">
        <v>2622.9132134601723</v>
      </c>
      <c r="Q11" s="13">
        <v>2770.1113827968238</v>
      </c>
      <c r="R11" s="56">
        <f t="shared" si="4"/>
        <v>2742.99372211426</v>
      </c>
      <c r="S11" s="14">
        <v>2715.8760614316957</v>
      </c>
      <c r="T11" s="13">
        <v>2767.1366053584261</v>
      </c>
      <c r="U11" s="13">
        <v>2768.6943830796163</v>
      </c>
      <c r="V11" s="13">
        <v>2698.257024625907</v>
      </c>
      <c r="W11" s="13">
        <v>2805.5997384817661</v>
      </c>
      <c r="X11" s="13">
        <v>2785.045216444179</v>
      </c>
      <c r="Y11" s="13">
        <v>2871.4847184390169</v>
      </c>
      <c r="Z11" s="13">
        <v>2834.8786623739397</v>
      </c>
      <c r="AA11" s="13">
        <v>2853.2512484462759</v>
      </c>
      <c r="AB11" s="13">
        <v>2934.0448093891541</v>
      </c>
      <c r="AC11" s="13">
        <v>2926.2875859294813</v>
      </c>
      <c r="AD11" s="13">
        <v>2962.1808050292402</v>
      </c>
      <c r="AE11" s="13">
        <v>2920.2634141200488</v>
      </c>
      <c r="AF11" s="13">
        <v>2881.9532026764659</v>
      </c>
      <c r="AG11" s="13">
        <v>2965.3190526780513</v>
      </c>
      <c r="AH11" s="13">
        <v>2986.1976707156223</v>
      </c>
      <c r="AI11" s="13">
        <v>2939.0463553593886</v>
      </c>
      <c r="AJ11" s="13">
        <v>2880.0719478967035</v>
      </c>
      <c r="AK11" s="13">
        <v>2836.9530733033635</v>
      </c>
      <c r="AL11" s="13">
        <v>2975.0834048179845</v>
      </c>
      <c r="AM11" s="13">
        <v>3030.5162172985683</v>
      </c>
      <c r="AN11" s="13">
        <v>2823.3139201883851</v>
      </c>
      <c r="AO11" s="13">
        <v>2886.5594824780251</v>
      </c>
      <c r="AP11" s="13">
        <v>2913.7671626675492</v>
      </c>
      <c r="AQ11" s="13">
        <v>3037.9673700956114</v>
      </c>
      <c r="AR11" s="13">
        <v>2852.7907159220053</v>
      </c>
      <c r="AS11" s="13">
        <v>2805.1435528256015</v>
      </c>
      <c r="AT11" s="13">
        <v>2811.8503049882588</v>
      </c>
      <c r="AU11" s="13">
        <v>2954.8981513371696</v>
      </c>
      <c r="AV11" s="13">
        <v>2872.2917654690959</v>
      </c>
      <c r="AW11" s="13">
        <v>2734.7978679634507</v>
      </c>
      <c r="AX11" s="56">
        <f t="shared" si="5"/>
        <v>2746.461087186065</v>
      </c>
      <c r="AY11" s="56">
        <f t="shared" si="6"/>
        <v>2752.2926967973722</v>
      </c>
      <c r="AZ11" s="56">
        <f t="shared" si="7"/>
        <v>2755.208501603026</v>
      </c>
      <c r="BA11" s="34">
        <v>2758.1243064086793</v>
      </c>
      <c r="BB11" s="13">
        <v>2803.8358938905567</v>
      </c>
      <c r="BC11" s="13">
        <v>2758.7937353194302</v>
      </c>
      <c r="BD11" s="13">
        <v>2791.195172165731</v>
      </c>
      <c r="BE11" s="13">
        <v>2741.8553275108761</v>
      </c>
      <c r="BF11" s="13">
        <v>2788.8660372700706</v>
      </c>
      <c r="BG11" s="13">
        <v>2856.0116211851237</v>
      </c>
      <c r="BH11" s="13">
        <v>2886.1438112412702</v>
      </c>
      <c r="BI11" s="13">
        <v>2812.1878032330883</v>
      </c>
      <c r="BJ11" s="13">
        <v>2848.4177164145808</v>
      </c>
      <c r="BK11" s="49">
        <v>2781.6493163931564</v>
      </c>
      <c r="BL11" s="49">
        <v>2876.9279999999999</v>
      </c>
      <c r="BM11" s="49">
        <v>2895.83</v>
      </c>
      <c r="BN11" s="49">
        <v>2886.9161154153871</v>
      </c>
      <c r="BO11" s="49">
        <v>2934.2040000000002</v>
      </c>
      <c r="BP11" s="49">
        <v>2881.6509999999998</v>
      </c>
      <c r="BQ11" s="49">
        <v>2398.6779999999999</v>
      </c>
      <c r="BR11" s="49">
        <v>2707.8319999999999</v>
      </c>
      <c r="BS11" s="49">
        <v>2753.7289999999998</v>
      </c>
      <c r="BT11" s="49">
        <v>2704.277</v>
      </c>
      <c r="BU11" s="49">
        <v>2738.971</v>
      </c>
      <c r="BV11" s="49">
        <v>2878.4690000000001</v>
      </c>
      <c r="BW11" s="49">
        <v>3033.4380000000001</v>
      </c>
      <c r="BX11" s="49">
        <v>3110.933</v>
      </c>
      <c r="BY11" s="49">
        <v>3228.0509999999999</v>
      </c>
      <c r="BZ11" s="49">
        <v>3024.5990000000002</v>
      </c>
      <c r="CA11" s="49">
        <v>3116.8939999999998</v>
      </c>
      <c r="CB11" s="49">
        <v>3196.297</v>
      </c>
      <c r="CC11" s="49">
        <v>3082.0039999999999</v>
      </c>
      <c r="CD11" s="49">
        <v>3171.9960000000001</v>
      </c>
      <c r="CE11" s="49">
        <v>3197.058</v>
      </c>
      <c r="CF11" s="49">
        <v>3015.9569999999999</v>
      </c>
      <c r="CG11" s="49">
        <v>2988.3</v>
      </c>
      <c r="CH11" s="49">
        <v>3149.7489999999998</v>
      </c>
      <c r="CI11" s="49">
        <v>3222.3690000000001</v>
      </c>
      <c r="CJ11" s="49">
        <v>3066.7759999999998</v>
      </c>
    </row>
    <row r="12" spans="1:88" ht="20.149999999999999" customHeight="1" x14ac:dyDescent="0.25">
      <c r="A12" s="12" t="s">
        <v>7</v>
      </c>
      <c r="B12" s="49">
        <v>2963.8033693889724</v>
      </c>
      <c r="C12" s="49">
        <v>2937.0521803176316</v>
      </c>
      <c r="D12" s="49">
        <v>2985.2341433460642</v>
      </c>
      <c r="E12" s="49">
        <v>2930.144013457269</v>
      </c>
      <c r="F12" s="49">
        <v>2992.354057657245</v>
      </c>
      <c r="G12" s="49">
        <v>3039.1796908927167</v>
      </c>
      <c r="H12" s="49">
        <v>3128.9342996831447</v>
      </c>
      <c r="I12" s="49">
        <v>3120.7191573025339</v>
      </c>
      <c r="J12" s="49">
        <v>3198.1890288390941</v>
      </c>
      <c r="K12" s="49">
        <v>3228.3065743669158</v>
      </c>
      <c r="L12" s="13">
        <v>3263.3295627785201</v>
      </c>
      <c r="M12" s="13">
        <v>3233.3356138403847</v>
      </c>
      <c r="N12" s="13">
        <v>3225.1098684151152</v>
      </c>
      <c r="O12" s="13">
        <v>3288.6759468942155</v>
      </c>
      <c r="P12" s="13">
        <v>3415.3995294533934</v>
      </c>
      <c r="Q12" s="13">
        <v>3458.5522486154209</v>
      </c>
      <c r="R12" s="56">
        <f t="shared" si="4"/>
        <v>3448.4184992986043</v>
      </c>
      <c r="S12" s="14">
        <v>3438.2847499817876</v>
      </c>
      <c r="T12" s="13">
        <v>3566.6562739687106</v>
      </c>
      <c r="U12" s="13">
        <v>3538.1069345562482</v>
      </c>
      <c r="V12" s="13">
        <v>3574.3591783999013</v>
      </c>
      <c r="W12" s="13">
        <v>3624.289664869586</v>
      </c>
      <c r="X12" s="13">
        <v>3638.7333502675988</v>
      </c>
      <c r="Y12" s="13">
        <v>3608.9997569481425</v>
      </c>
      <c r="Z12" s="13">
        <v>3628.7801087358825</v>
      </c>
      <c r="AA12" s="13">
        <v>3650.2715802383373</v>
      </c>
      <c r="AB12" s="13">
        <v>3641.1796321400352</v>
      </c>
      <c r="AC12" s="13">
        <v>3662.8685854161031</v>
      </c>
      <c r="AD12" s="13">
        <v>3661.4846724630602</v>
      </c>
      <c r="AE12" s="13">
        <v>3657.2779195853723</v>
      </c>
      <c r="AF12" s="13">
        <v>3726.8760567085824</v>
      </c>
      <c r="AG12" s="13">
        <v>3792.0516908870072</v>
      </c>
      <c r="AH12" s="13">
        <v>3880.4995006255485</v>
      </c>
      <c r="AI12" s="13">
        <v>3908.3139436739416</v>
      </c>
      <c r="AJ12" s="13">
        <v>3867.4634296992635</v>
      </c>
      <c r="AK12" s="13">
        <v>3925.4522778336127</v>
      </c>
      <c r="AL12" s="13">
        <v>3882.3782345597638</v>
      </c>
      <c r="AM12" s="13">
        <v>3910.0978895179051</v>
      </c>
      <c r="AN12" s="13">
        <v>3941.4822869660065</v>
      </c>
      <c r="AO12" s="13">
        <v>4041.8191897228198</v>
      </c>
      <c r="AP12" s="13">
        <v>4060.2923583709817</v>
      </c>
      <c r="AQ12" s="13">
        <v>3926.0431995799827</v>
      </c>
      <c r="AR12" s="13">
        <v>3939.4810502958899</v>
      </c>
      <c r="AS12" s="13">
        <v>3885.3767773977052</v>
      </c>
      <c r="AT12" s="13">
        <v>3932.0640154829389</v>
      </c>
      <c r="AU12" s="13">
        <v>3846.4044977800031</v>
      </c>
      <c r="AV12" s="13">
        <v>3919.2923914468556</v>
      </c>
      <c r="AW12" s="13">
        <v>4122.9479417611719</v>
      </c>
      <c r="AX12" s="56">
        <f t="shared" si="5"/>
        <v>4072.372245142577</v>
      </c>
      <c r="AY12" s="56">
        <f t="shared" si="6"/>
        <v>4047.0843968332792</v>
      </c>
      <c r="AZ12" s="56">
        <f t="shared" si="7"/>
        <v>4034.4404726786306</v>
      </c>
      <c r="BA12" s="34">
        <v>4021.796548523982</v>
      </c>
      <c r="BB12" s="13">
        <v>4081.8166273470356</v>
      </c>
      <c r="BC12" s="13">
        <v>4186.9355692656009</v>
      </c>
      <c r="BD12" s="13">
        <v>3947.3697146325035</v>
      </c>
      <c r="BE12" s="13">
        <v>3991.7588241131039</v>
      </c>
      <c r="BF12" s="13">
        <v>4180.6306831461416</v>
      </c>
      <c r="BG12" s="13">
        <v>4200.8834286157262</v>
      </c>
      <c r="BH12" s="13">
        <v>4145.7773333400892</v>
      </c>
      <c r="BI12" s="13">
        <v>4214.0512833869334</v>
      </c>
      <c r="BJ12" s="13">
        <v>4302.1209750718872</v>
      </c>
      <c r="BK12" s="49">
        <v>4261.4327657298018</v>
      </c>
      <c r="BL12" s="49">
        <v>4239.4979999999996</v>
      </c>
      <c r="BM12" s="49">
        <v>4282</v>
      </c>
      <c r="BN12" s="49">
        <v>4441.4417618861389</v>
      </c>
      <c r="BO12" s="49">
        <v>4384.3779999999997</v>
      </c>
      <c r="BP12" s="49">
        <v>4301.9809999999998</v>
      </c>
      <c r="BQ12" s="49">
        <v>3881.98</v>
      </c>
      <c r="BR12" s="49">
        <v>4150.3040000000001</v>
      </c>
      <c r="BS12" s="49">
        <v>4406.0519999999997</v>
      </c>
      <c r="BT12" s="49">
        <v>4591.32</v>
      </c>
      <c r="BU12" s="49">
        <v>4661.5190000000002</v>
      </c>
      <c r="BV12" s="49">
        <v>4709.1390000000001</v>
      </c>
      <c r="BW12" s="49">
        <v>4788.9530000000004</v>
      </c>
      <c r="BX12" s="49">
        <v>4713.0569999999998</v>
      </c>
      <c r="BY12" s="49">
        <v>4818.9129999999996</v>
      </c>
      <c r="BZ12" s="49">
        <v>4897.4319999999998</v>
      </c>
      <c r="CA12" s="49">
        <v>4904.7089999999998</v>
      </c>
      <c r="CB12" s="49">
        <v>4839.7790000000005</v>
      </c>
      <c r="CC12" s="49">
        <v>4971.9189999999999</v>
      </c>
      <c r="CD12" s="49">
        <v>5096.4279999999999</v>
      </c>
      <c r="CE12" s="49">
        <v>5031.0200000000004</v>
      </c>
      <c r="CF12" s="49">
        <v>4848.82</v>
      </c>
      <c r="CG12" s="49">
        <v>4992.9250000000002</v>
      </c>
      <c r="CH12" s="49">
        <v>5126.5479999999998</v>
      </c>
      <c r="CI12" s="49">
        <v>5064.8090000000002</v>
      </c>
      <c r="CJ12" s="49">
        <v>4981.1030000000001</v>
      </c>
    </row>
    <row r="13" spans="1:88" ht="20.149999999999999" customHeight="1" x14ac:dyDescent="0.25">
      <c r="A13" s="12" t="s">
        <v>8</v>
      </c>
      <c r="B13" s="49">
        <v>1397.023049120696</v>
      </c>
      <c r="C13" s="49">
        <v>1391.9041387033865</v>
      </c>
      <c r="D13" s="49">
        <v>1390.5725379039002</v>
      </c>
      <c r="E13" s="49">
        <v>1502.6317690362985</v>
      </c>
      <c r="F13" s="49">
        <v>1521.1948770673698</v>
      </c>
      <c r="G13" s="49">
        <v>1480.2197371243185</v>
      </c>
      <c r="H13" s="49">
        <v>1488.342601033421</v>
      </c>
      <c r="I13" s="49">
        <v>1477.9408922172529</v>
      </c>
      <c r="J13" s="49">
        <v>1521.651422705685</v>
      </c>
      <c r="K13" s="49">
        <v>1523.8493368232348</v>
      </c>
      <c r="L13" s="13">
        <v>1503.7439643310634</v>
      </c>
      <c r="M13" s="13">
        <v>1650.8244424813199</v>
      </c>
      <c r="N13" s="13">
        <v>1600.6546535608015</v>
      </c>
      <c r="O13" s="13">
        <v>1584.3878301606362</v>
      </c>
      <c r="P13" s="13">
        <v>1595.5604861806269</v>
      </c>
      <c r="Q13" s="13">
        <v>1665.0015388672412</v>
      </c>
      <c r="R13" s="56">
        <f t="shared" si="4"/>
        <v>1660.7476641292719</v>
      </c>
      <c r="S13" s="14">
        <v>1656.4937893913025</v>
      </c>
      <c r="T13" s="13">
        <v>1665.2918761038513</v>
      </c>
      <c r="U13" s="13">
        <v>1714.2770719986047</v>
      </c>
      <c r="V13" s="13">
        <v>1713.9859077507465</v>
      </c>
      <c r="W13" s="13">
        <v>1737.4863068027551</v>
      </c>
      <c r="X13" s="13">
        <v>1767.559210492607</v>
      </c>
      <c r="Y13" s="13">
        <v>1700.1754147363429</v>
      </c>
      <c r="Z13" s="13">
        <v>1710.9279797754298</v>
      </c>
      <c r="AA13" s="13">
        <v>1784.8195548460335</v>
      </c>
      <c r="AB13" s="13">
        <v>1711.5043618027908</v>
      </c>
      <c r="AC13" s="13">
        <v>1695.4880288229053</v>
      </c>
      <c r="AD13" s="13">
        <v>1746.5239277995636</v>
      </c>
      <c r="AE13" s="13">
        <v>1773.8270693271913</v>
      </c>
      <c r="AF13" s="13">
        <v>1784.3994484393688</v>
      </c>
      <c r="AG13" s="13">
        <v>1803.2781181017488</v>
      </c>
      <c r="AH13" s="13">
        <v>1799.3320625393742</v>
      </c>
      <c r="AI13" s="13">
        <v>1788.5462396533871</v>
      </c>
      <c r="AJ13" s="13">
        <v>1842.1197993745632</v>
      </c>
      <c r="AK13" s="13">
        <v>1830.7793166984131</v>
      </c>
      <c r="AL13" s="13">
        <v>1800.429715258133</v>
      </c>
      <c r="AM13" s="13">
        <v>1807.8663376430404</v>
      </c>
      <c r="AN13" s="13">
        <v>1825.223541333856</v>
      </c>
      <c r="AO13" s="13">
        <v>1828.2101353389339</v>
      </c>
      <c r="AP13" s="13">
        <v>1818.3218501794242</v>
      </c>
      <c r="AQ13" s="13">
        <v>1807.558474312362</v>
      </c>
      <c r="AR13" s="13">
        <v>1792.5242170887241</v>
      </c>
      <c r="AS13" s="13">
        <v>1837.17640499461</v>
      </c>
      <c r="AT13" s="13">
        <v>1800.5129210581517</v>
      </c>
      <c r="AU13" s="13">
        <v>1807.7400081619742</v>
      </c>
      <c r="AV13" s="13">
        <v>1833.8560047936321</v>
      </c>
      <c r="AW13" s="13">
        <v>1883.0784509873963</v>
      </c>
      <c r="AX13" s="56">
        <f t="shared" si="5"/>
        <v>1989.4117491333268</v>
      </c>
      <c r="AY13" s="56">
        <f t="shared" si="6"/>
        <v>2042.5783982062919</v>
      </c>
      <c r="AZ13" s="56">
        <f t="shared" si="7"/>
        <v>2069.1617227427746</v>
      </c>
      <c r="BA13" s="34">
        <v>2095.7450472792571</v>
      </c>
      <c r="BB13" s="13">
        <v>2109.9321852083754</v>
      </c>
      <c r="BC13" s="13">
        <v>2092.6211837729202</v>
      </c>
      <c r="BD13" s="13">
        <v>2154.5297371123579</v>
      </c>
      <c r="BE13" s="13">
        <v>2203.2251769180857</v>
      </c>
      <c r="BF13" s="13">
        <v>2150.1388653963454</v>
      </c>
      <c r="BG13" s="13">
        <v>2183.8106643832043</v>
      </c>
      <c r="BH13" s="13">
        <v>2070.2862950846848</v>
      </c>
      <c r="BI13" s="13">
        <v>2125.4939879467424</v>
      </c>
      <c r="BJ13" s="13">
        <v>2199.9591657598116</v>
      </c>
      <c r="BK13" s="49">
        <v>2184.0537504929966</v>
      </c>
      <c r="BL13" s="49">
        <v>2102.3409999999999</v>
      </c>
      <c r="BM13" s="49">
        <v>2170.42</v>
      </c>
      <c r="BN13" s="49">
        <v>2184.1182653351452</v>
      </c>
      <c r="BO13" s="49">
        <v>2191.518</v>
      </c>
      <c r="BP13" s="49">
        <v>2163.451</v>
      </c>
      <c r="BQ13" s="49">
        <v>1650.422</v>
      </c>
      <c r="BR13" s="49">
        <v>1827.7629999999999</v>
      </c>
      <c r="BS13" s="49">
        <v>1939.627</v>
      </c>
      <c r="BT13" s="49">
        <v>2106.7849999999999</v>
      </c>
      <c r="BU13" s="49">
        <v>2085.7420000000002</v>
      </c>
      <c r="BV13" s="49">
        <v>2200.3560000000002</v>
      </c>
      <c r="BW13" s="49">
        <v>2185.163</v>
      </c>
      <c r="BX13" s="49">
        <v>2112.83</v>
      </c>
      <c r="BY13" s="49">
        <v>2162.9679999999998</v>
      </c>
      <c r="BZ13" s="49">
        <v>2261.2049999999999</v>
      </c>
      <c r="CA13" s="49">
        <v>2294.5650000000001</v>
      </c>
      <c r="CB13" s="49">
        <v>2320.75</v>
      </c>
      <c r="CC13" s="49">
        <v>2216.855</v>
      </c>
      <c r="CD13" s="49">
        <v>2210.6489999999999</v>
      </c>
      <c r="CE13" s="49">
        <v>2295.0030000000002</v>
      </c>
      <c r="CF13" s="49">
        <v>2361.0990000000002</v>
      </c>
      <c r="CG13" s="49">
        <v>2365.5349999999999</v>
      </c>
      <c r="CH13" s="49">
        <v>2204.3969999999999</v>
      </c>
      <c r="CI13" s="49">
        <v>2369.366</v>
      </c>
      <c r="CJ13" s="49">
        <v>2394.8470000000002</v>
      </c>
    </row>
    <row r="14" spans="1:88" ht="20.149999999999999" customHeight="1" x14ac:dyDescent="0.25">
      <c r="A14" s="12" t="s">
        <v>9</v>
      </c>
      <c r="B14" s="49">
        <v>676.26923303257445</v>
      </c>
      <c r="C14" s="49">
        <v>759.41786568971906</v>
      </c>
      <c r="D14" s="49">
        <v>731.37473073863555</v>
      </c>
      <c r="E14" s="49">
        <v>749.01052099709693</v>
      </c>
      <c r="F14" s="49">
        <v>751.59170646534778</v>
      </c>
      <c r="G14" s="49">
        <v>780.39128891228643</v>
      </c>
      <c r="H14" s="49">
        <v>769.66811346888687</v>
      </c>
      <c r="I14" s="49">
        <v>842.8516884130745</v>
      </c>
      <c r="J14" s="49">
        <v>869.94428499135336</v>
      </c>
      <c r="K14" s="49">
        <v>875.84683497148251</v>
      </c>
      <c r="L14" s="13">
        <v>866.17499923399828</v>
      </c>
      <c r="M14" s="13">
        <v>847.84471439119477</v>
      </c>
      <c r="N14" s="13">
        <v>875.0591906102444</v>
      </c>
      <c r="O14" s="13">
        <v>942.2680181407901</v>
      </c>
      <c r="P14" s="13">
        <v>891.49449000899244</v>
      </c>
      <c r="Q14" s="13">
        <v>868.95230737180896</v>
      </c>
      <c r="R14" s="56">
        <f t="shared" si="4"/>
        <v>859.54029191576251</v>
      </c>
      <c r="S14" s="14">
        <v>850.12827645971595</v>
      </c>
      <c r="T14" s="13">
        <v>809.27182787575725</v>
      </c>
      <c r="U14" s="13">
        <v>861.20381098233236</v>
      </c>
      <c r="V14" s="13">
        <v>835.40163065942306</v>
      </c>
      <c r="W14" s="13">
        <v>872.35347832333923</v>
      </c>
      <c r="X14" s="13">
        <v>891.31494039748634</v>
      </c>
      <c r="Y14" s="13">
        <v>904.64586099143082</v>
      </c>
      <c r="Z14" s="13">
        <v>871.1819777876741</v>
      </c>
      <c r="AA14" s="13">
        <v>916.75338567968822</v>
      </c>
      <c r="AB14" s="13">
        <v>909.04034824074495</v>
      </c>
      <c r="AC14" s="13">
        <v>961.46176124831686</v>
      </c>
      <c r="AD14" s="13">
        <v>949.98997932374402</v>
      </c>
      <c r="AE14" s="13">
        <v>931.09840579743411</v>
      </c>
      <c r="AF14" s="13">
        <v>947.90444389014044</v>
      </c>
      <c r="AG14" s="13">
        <v>938.85031174663175</v>
      </c>
      <c r="AH14" s="13">
        <v>1003.7528897470957</v>
      </c>
      <c r="AI14" s="13">
        <v>971.0572756851451</v>
      </c>
      <c r="AJ14" s="13">
        <v>905.05566848117962</v>
      </c>
      <c r="AK14" s="13">
        <v>979.57576636025726</v>
      </c>
      <c r="AL14" s="13">
        <v>1007.434818464614</v>
      </c>
      <c r="AM14" s="13">
        <v>1007.3083801728191</v>
      </c>
      <c r="AN14" s="13">
        <v>944.83916320373328</v>
      </c>
      <c r="AO14" s="13">
        <v>1021.4421717886308</v>
      </c>
      <c r="AP14" s="13">
        <v>1038.1337082905559</v>
      </c>
      <c r="AQ14" s="13">
        <v>994.13030004748055</v>
      </c>
      <c r="AR14" s="13">
        <v>973.47013656913725</v>
      </c>
      <c r="AS14" s="13">
        <v>966.6310523151277</v>
      </c>
      <c r="AT14" s="13">
        <v>1007.3920522591346</v>
      </c>
      <c r="AU14" s="13">
        <v>1029.4354913261222</v>
      </c>
      <c r="AV14" s="13">
        <v>1006.071802443018</v>
      </c>
      <c r="AW14" s="13">
        <v>966.87124613471485</v>
      </c>
      <c r="AX14" s="56">
        <f t="shared" si="5"/>
        <v>1062.6146859072398</v>
      </c>
      <c r="AY14" s="56">
        <f t="shared" si="6"/>
        <v>1110.4864057935024</v>
      </c>
      <c r="AZ14" s="56">
        <f t="shared" si="7"/>
        <v>1134.4222657366336</v>
      </c>
      <c r="BA14" s="34">
        <v>1158.3581256797647</v>
      </c>
      <c r="BB14" s="13">
        <v>1230.8404943820744</v>
      </c>
      <c r="BC14" s="13">
        <v>1210.3490537474654</v>
      </c>
      <c r="BD14" s="13">
        <v>1210.7182964339104</v>
      </c>
      <c r="BE14" s="13">
        <v>1171.4576448909331</v>
      </c>
      <c r="BF14" s="13">
        <v>1261.8855303983132</v>
      </c>
      <c r="BG14" s="13">
        <v>1296.0099844945626</v>
      </c>
      <c r="BH14" s="13">
        <v>1349.0198608679129</v>
      </c>
      <c r="BI14" s="13">
        <v>1264.4508437115626</v>
      </c>
      <c r="BJ14" s="13">
        <v>1227.363947055876</v>
      </c>
      <c r="BK14" s="49">
        <v>1258.0832174408308</v>
      </c>
      <c r="BL14" s="49">
        <v>1320.5329999999999</v>
      </c>
      <c r="BM14" s="49">
        <v>1319.4</v>
      </c>
      <c r="BN14" s="49">
        <v>1338.7956068796327</v>
      </c>
      <c r="BO14" s="49">
        <v>1315.079</v>
      </c>
      <c r="BP14" s="49">
        <v>1291.8910000000001</v>
      </c>
      <c r="BQ14" s="49">
        <v>750.06</v>
      </c>
      <c r="BR14" s="49">
        <v>953.04899999999998</v>
      </c>
      <c r="BS14" s="49">
        <v>1094.2670000000001</v>
      </c>
      <c r="BT14" s="49">
        <v>1171.9079999999999</v>
      </c>
      <c r="BU14" s="49">
        <v>1042.7660000000001</v>
      </c>
      <c r="BV14" s="49">
        <v>1218.934</v>
      </c>
      <c r="BW14" s="49">
        <v>1184.299</v>
      </c>
      <c r="BX14" s="49">
        <v>1188.808</v>
      </c>
      <c r="BY14" s="49">
        <v>1247.807</v>
      </c>
      <c r="BZ14" s="49">
        <v>1138.4069999999999</v>
      </c>
      <c r="CA14" s="49">
        <v>1190.6489999999999</v>
      </c>
      <c r="CB14" s="49">
        <v>1211.73</v>
      </c>
      <c r="CC14" s="49">
        <v>1223.9860000000001</v>
      </c>
      <c r="CD14" s="49">
        <v>1261.6859999999999</v>
      </c>
      <c r="CE14" s="49">
        <v>1306.0329999999999</v>
      </c>
      <c r="CF14" s="49">
        <v>1230.1410000000001</v>
      </c>
      <c r="CG14" s="49">
        <v>1321.982</v>
      </c>
      <c r="CH14" s="49">
        <v>1335.5920000000001</v>
      </c>
      <c r="CI14" s="49">
        <v>1374.7159999999999</v>
      </c>
      <c r="CJ14" s="49">
        <v>1264.817</v>
      </c>
    </row>
    <row r="15" spans="1:88" ht="20.149999999999999" customHeight="1" thickBot="1" x14ac:dyDescent="0.3">
      <c r="A15" s="15" t="s">
        <v>10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40"/>
      <c r="S15" s="15"/>
      <c r="T15" s="15"/>
      <c r="U15" s="15"/>
      <c r="V15" s="15"/>
      <c r="W15" s="15"/>
      <c r="X15" s="15"/>
      <c r="Y15" s="16"/>
      <c r="Z15" s="16"/>
      <c r="AA15" s="16"/>
      <c r="AB15" s="16"/>
      <c r="AC15" s="16"/>
      <c r="AD15" s="16"/>
      <c r="AE15" s="16"/>
      <c r="AF15" s="16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40"/>
      <c r="AY15" s="40"/>
      <c r="AZ15" s="40"/>
      <c r="BA15" s="3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</row>
    <row r="16" spans="1:88" ht="20.149999999999999" customHeight="1" x14ac:dyDescent="0.25">
      <c r="A16" s="12" t="s">
        <v>11</v>
      </c>
      <c r="B16" s="49">
        <v>4351.2410621060089</v>
      </c>
      <c r="C16" s="49">
        <v>4550.0571619638849</v>
      </c>
      <c r="D16" s="49">
        <v>4485.2873665654015</v>
      </c>
      <c r="E16" s="49">
        <v>4580.1907741365003</v>
      </c>
      <c r="F16" s="49">
        <v>4655.7891353719415</v>
      </c>
      <c r="G16" s="49">
        <v>4723.0996071776517</v>
      </c>
      <c r="H16" s="49">
        <v>4738.2873689231883</v>
      </c>
      <c r="I16" s="49">
        <v>4700.6929910985755</v>
      </c>
      <c r="J16" s="49">
        <v>4915.3460528773276</v>
      </c>
      <c r="K16" s="49">
        <v>4935.5523046680546</v>
      </c>
      <c r="L16" s="13">
        <v>4866.8763127963903</v>
      </c>
      <c r="M16" s="13">
        <v>4994.0992605873553</v>
      </c>
      <c r="N16" s="13">
        <v>5091.5204562596609</v>
      </c>
      <c r="O16" s="13">
        <v>5050.6951423423607</v>
      </c>
      <c r="P16" s="13">
        <v>5056.0585677449744</v>
      </c>
      <c r="Q16" s="13">
        <v>5179.3456562448091</v>
      </c>
      <c r="R16" s="56">
        <f t="shared" ref="R16:R19" si="8">+(Q16+S16)/2</f>
        <v>5130.3512528558804</v>
      </c>
      <c r="S16" s="14">
        <v>5081.3568494669526</v>
      </c>
      <c r="T16" s="13">
        <v>5059.1153957932665</v>
      </c>
      <c r="U16" s="13">
        <v>5202.6119246799653</v>
      </c>
      <c r="V16" s="13">
        <v>5172.6870804903183</v>
      </c>
      <c r="W16" s="13">
        <v>5211.7339024010907</v>
      </c>
      <c r="X16" s="13">
        <v>5202.578988384972</v>
      </c>
      <c r="Y16" s="13">
        <v>5213.5695405555443</v>
      </c>
      <c r="Z16" s="13">
        <v>5226.8627712231946</v>
      </c>
      <c r="AA16" s="13">
        <v>5258.7961302921285</v>
      </c>
      <c r="AB16" s="13">
        <v>5231.2999746623427</v>
      </c>
      <c r="AC16" s="13">
        <v>5284.0732638291875</v>
      </c>
      <c r="AD16" s="13">
        <v>5319.2779807167544</v>
      </c>
      <c r="AE16" s="13">
        <v>5377.0990429255735</v>
      </c>
      <c r="AF16" s="13">
        <v>5442.0012215358447</v>
      </c>
      <c r="AG16" s="13">
        <v>5541.455255836624</v>
      </c>
      <c r="AH16" s="13">
        <v>5555.5058927253322</v>
      </c>
      <c r="AI16" s="13">
        <v>5614.9758289414467</v>
      </c>
      <c r="AJ16" s="13">
        <v>5607.5162985176166</v>
      </c>
      <c r="AK16" s="13">
        <v>5607.1407491829359</v>
      </c>
      <c r="AL16" s="13">
        <v>5575.4215222940684</v>
      </c>
      <c r="AM16" s="13">
        <v>5663.5105395162618</v>
      </c>
      <c r="AN16" s="13">
        <v>5572.6284343555326</v>
      </c>
      <c r="AO16" s="13">
        <v>5741.7752653295038</v>
      </c>
      <c r="AP16" s="13">
        <v>5659.0662816690919</v>
      </c>
      <c r="AQ16" s="13">
        <v>5589.6856505053838</v>
      </c>
      <c r="AR16" s="13">
        <v>5532.2956794192214</v>
      </c>
      <c r="AS16" s="13">
        <v>5519.9003441604173</v>
      </c>
      <c r="AT16" s="13">
        <v>5547.1293163551945</v>
      </c>
      <c r="AU16" s="13">
        <v>5575.8934194906296</v>
      </c>
      <c r="AV16" s="13">
        <v>5578.0711162690022</v>
      </c>
      <c r="AW16" s="13">
        <v>5613.179064763488</v>
      </c>
      <c r="AX16" s="56">
        <f t="shared" ref="AX16:AX19" si="9">+(AW16+BA16)/2</f>
        <v>5631.5267003143181</v>
      </c>
      <c r="AY16" s="56">
        <f t="shared" ref="AY16:AY19" si="10">+(AX16+BA16)/2</f>
        <v>5640.700518089734</v>
      </c>
      <c r="AZ16" s="56">
        <f t="shared" ref="AZ16:AZ19" si="11">+(AY16+BA16)/2</f>
        <v>5645.287426977442</v>
      </c>
      <c r="BA16" s="34">
        <v>5649.8743358651491</v>
      </c>
      <c r="BB16" s="13">
        <v>5700.6681955281983</v>
      </c>
      <c r="BC16" s="13">
        <v>5761.8493819912665</v>
      </c>
      <c r="BD16" s="13">
        <v>5679.0541726759429</v>
      </c>
      <c r="BE16" s="13">
        <v>5681.639944161212</v>
      </c>
      <c r="BF16" s="13">
        <v>5798.3694282598917</v>
      </c>
      <c r="BG16" s="13">
        <v>5884.5099520283939</v>
      </c>
      <c r="BH16" s="13">
        <v>5834.1325777832944</v>
      </c>
      <c r="BI16" s="13">
        <v>5803.5755473483096</v>
      </c>
      <c r="BJ16" s="13">
        <v>5937.7028928244308</v>
      </c>
      <c r="BK16" s="49">
        <v>5967.5345861434334</v>
      </c>
      <c r="BL16" s="49">
        <v>5959.2510000000002</v>
      </c>
      <c r="BM16" s="49">
        <v>5987.0029999999997</v>
      </c>
      <c r="BN16" s="49">
        <v>6054.6155079022938</v>
      </c>
      <c r="BO16" s="49">
        <v>6062.9229999999998</v>
      </c>
      <c r="BP16" s="49">
        <v>6010.8469999999998</v>
      </c>
      <c r="BQ16" s="49">
        <v>5017.4560000000001</v>
      </c>
      <c r="BR16" s="49">
        <v>5567.3670000000002</v>
      </c>
      <c r="BS16" s="49">
        <v>5874.3779999999997</v>
      </c>
      <c r="BT16" s="49">
        <v>5949.9830000000002</v>
      </c>
      <c r="BU16" s="49">
        <v>5837.9470000000001</v>
      </c>
      <c r="BV16" s="49">
        <v>6110.9579999999996</v>
      </c>
      <c r="BW16" s="49">
        <v>6280.1369999999997</v>
      </c>
      <c r="BX16" s="49">
        <v>6263.9679999999998</v>
      </c>
      <c r="BY16" s="49">
        <v>6398.8090000000002</v>
      </c>
      <c r="BZ16" s="49">
        <v>6454.924</v>
      </c>
      <c r="CA16" s="49">
        <v>6581.0680000000002</v>
      </c>
      <c r="CB16" s="49">
        <v>6621.1440000000002</v>
      </c>
      <c r="CC16" s="49">
        <v>6584.1270000000004</v>
      </c>
      <c r="CD16" s="49">
        <v>6701.1109999999999</v>
      </c>
      <c r="CE16" s="49">
        <v>6709.1239999999998</v>
      </c>
      <c r="CF16" s="49">
        <v>6572.2179999999998</v>
      </c>
      <c r="CG16" s="49">
        <v>6633.6679999999997</v>
      </c>
      <c r="CH16" s="49">
        <v>6697.009</v>
      </c>
      <c r="CI16" s="49">
        <v>6818.567</v>
      </c>
      <c r="CJ16" s="49">
        <v>6696.8010000000004</v>
      </c>
    </row>
    <row r="17" spans="1:88" ht="20.149999999999999" customHeight="1" x14ac:dyDescent="0.25">
      <c r="A17" s="12" t="s">
        <v>12</v>
      </c>
      <c r="B17" s="49">
        <v>1749.9093666785491</v>
      </c>
      <c r="C17" s="49">
        <v>1698.7405125156233</v>
      </c>
      <c r="D17" s="49">
        <v>1763.6315031280412</v>
      </c>
      <c r="E17" s="49">
        <v>1823.2386586383693</v>
      </c>
      <c r="F17" s="49">
        <v>1825.3108941102514</v>
      </c>
      <c r="G17" s="49">
        <v>1835.0946418221965</v>
      </c>
      <c r="H17" s="49">
        <v>1817.5792561011729</v>
      </c>
      <c r="I17" s="49">
        <v>1890.4934629207223</v>
      </c>
      <c r="J17" s="49">
        <v>1898.1326252905637</v>
      </c>
      <c r="K17" s="49">
        <v>1965.7440267707539</v>
      </c>
      <c r="L17" s="13">
        <v>1923.330877872922</v>
      </c>
      <c r="M17" s="13">
        <v>2012.9516105260698</v>
      </c>
      <c r="N17" s="13">
        <v>2039.8677697076212</v>
      </c>
      <c r="O17" s="13">
        <v>2009.5247977229162</v>
      </c>
      <c r="P17" s="13">
        <v>2022.5756072653071</v>
      </c>
      <c r="Q17" s="13">
        <v>2112.5107775671763</v>
      </c>
      <c r="R17" s="56">
        <f t="shared" si="8"/>
        <v>2093.8419969041515</v>
      </c>
      <c r="S17" s="14">
        <v>2075.1732162411267</v>
      </c>
      <c r="T17" s="13">
        <v>2150.5054629147721</v>
      </c>
      <c r="U17" s="13">
        <v>2214.2637650793913</v>
      </c>
      <c r="V17" s="13">
        <v>2186.1511940377877</v>
      </c>
      <c r="W17" s="13">
        <v>2296.5311959386872</v>
      </c>
      <c r="X17" s="13">
        <v>2254.3567202397385</v>
      </c>
      <c r="Y17" s="13">
        <v>2302.1049151884863</v>
      </c>
      <c r="Z17" s="13">
        <v>2293.0199426293584</v>
      </c>
      <c r="AA17" s="13">
        <v>2328.2658987325112</v>
      </c>
      <c r="AB17" s="13">
        <v>2274.3311219047728</v>
      </c>
      <c r="AC17" s="13">
        <v>2305.5868152700373</v>
      </c>
      <c r="AD17" s="13">
        <v>2314.886860357843</v>
      </c>
      <c r="AE17" s="13">
        <v>2294.7554413034131</v>
      </c>
      <c r="AF17" s="13">
        <v>2358.1202640990291</v>
      </c>
      <c r="AG17" s="13">
        <v>2406.0224931835464</v>
      </c>
      <c r="AH17" s="13">
        <v>2450.5433359478498</v>
      </c>
      <c r="AI17" s="13">
        <v>2403.4936978756323</v>
      </c>
      <c r="AJ17" s="13">
        <v>2418.6678346312665</v>
      </c>
      <c r="AK17" s="13">
        <v>2430.8175557232967</v>
      </c>
      <c r="AL17" s="13">
        <v>2453.1332691441762</v>
      </c>
      <c r="AM17" s="13">
        <v>2445.3069579628955</v>
      </c>
      <c r="AN17" s="13">
        <v>2406.2594255397053</v>
      </c>
      <c r="AO17" s="13">
        <v>2420.051052299516</v>
      </c>
      <c r="AP17" s="13">
        <v>2492.8607508710293</v>
      </c>
      <c r="AQ17" s="13">
        <v>2478.0117714969056</v>
      </c>
      <c r="AR17" s="13">
        <v>2501.6812747792633</v>
      </c>
      <c r="AS17" s="13">
        <v>2391.0761345531514</v>
      </c>
      <c r="AT17" s="13">
        <v>2440.7045991726509</v>
      </c>
      <c r="AU17" s="13">
        <v>2447.1599382849063</v>
      </c>
      <c r="AV17" s="13">
        <v>2459.7029479542493</v>
      </c>
      <c r="AW17" s="13">
        <v>2509.0540634772028</v>
      </c>
      <c r="AX17" s="56">
        <f t="shared" si="9"/>
        <v>2549.1998505740662</v>
      </c>
      <c r="AY17" s="56">
        <f t="shared" si="10"/>
        <v>2569.2727441224979</v>
      </c>
      <c r="AZ17" s="56">
        <f t="shared" si="11"/>
        <v>2579.3091908967135</v>
      </c>
      <c r="BA17" s="34">
        <v>2589.3456376709296</v>
      </c>
      <c r="BB17" s="13">
        <v>2662.0030938522082</v>
      </c>
      <c r="BC17" s="13">
        <v>2630.7009379895562</v>
      </c>
      <c r="BD17" s="13">
        <v>2612.8079250416981</v>
      </c>
      <c r="BE17" s="13">
        <v>2631.9258400366975</v>
      </c>
      <c r="BF17" s="13">
        <v>2702.496603470589</v>
      </c>
      <c r="BG17" s="13">
        <v>2769.1628066313297</v>
      </c>
      <c r="BH17" s="13">
        <v>2711.9975720770558</v>
      </c>
      <c r="BI17" s="13">
        <v>2777.2495587728959</v>
      </c>
      <c r="BJ17" s="13">
        <v>2835.5371634431031</v>
      </c>
      <c r="BK17" s="49">
        <v>2771.1158422722865</v>
      </c>
      <c r="BL17" s="49">
        <v>2795.4720000000002</v>
      </c>
      <c r="BM17" s="49">
        <v>2848.0340000000001</v>
      </c>
      <c r="BN17" s="49">
        <v>2885.6451166431771</v>
      </c>
      <c r="BO17" s="49">
        <v>2889.404</v>
      </c>
      <c r="BP17" s="49">
        <v>2795.4960000000001</v>
      </c>
      <c r="BQ17" s="49">
        <v>2324.877</v>
      </c>
      <c r="BR17" s="49">
        <v>2486.319</v>
      </c>
      <c r="BS17" s="49">
        <v>2631.4409999999998</v>
      </c>
      <c r="BT17" s="49">
        <v>2809.0349999999999</v>
      </c>
      <c r="BU17" s="49">
        <v>2897.0340000000001</v>
      </c>
      <c r="BV17" s="49">
        <v>3023.67</v>
      </c>
      <c r="BW17" s="49">
        <v>3091.922</v>
      </c>
      <c r="BX17" s="49">
        <v>2946.07</v>
      </c>
      <c r="BY17" s="49">
        <v>3092.98</v>
      </c>
      <c r="BZ17" s="49">
        <v>3098.9769999999999</v>
      </c>
      <c r="CA17" s="49">
        <v>3103.212</v>
      </c>
      <c r="CB17" s="49">
        <v>3149.4569999999999</v>
      </c>
      <c r="CC17" s="49">
        <v>3196.8130000000001</v>
      </c>
      <c r="CD17" s="49">
        <v>3173.8490000000002</v>
      </c>
      <c r="CE17" s="49">
        <v>3184.4270000000001</v>
      </c>
      <c r="CF17" s="49">
        <v>3090.69</v>
      </c>
      <c r="CG17" s="49">
        <v>3210.4839999999999</v>
      </c>
      <c r="CH17" s="49">
        <v>3237.5729999999999</v>
      </c>
      <c r="CI17" s="49">
        <v>3233.3939999999998</v>
      </c>
      <c r="CJ17" s="49">
        <v>3137.7660000000001</v>
      </c>
    </row>
    <row r="18" spans="1:88" ht="20.149999999999999" customHeight="1" x14ac:dyDescent="0.25">
      <c r="A18" s="12" t="s">
        <v>13</v>
      </c>
      <c r="B18" s="49">
        <v>1888.3517658463745</v>
      </c>
      <c r="C18" s="49">
        <v>1912.3303758143745</v>
      </c>
      <c r="D18" s="49">
        <v>1954.6984105421534</v>
      </c>
      <c r="E18" s="49">
        <v>1960.610633661659</v>
      </c>
      <c r="F18" s="49">
        <v>2020.8391726794282</v>
      </c>
      <c r="G18" s="49">
        <v>2076.9719575681961</v>
      </c>
      <c r="H18" s="49">
        <v>2054.271279910392</v>
      </c>
      <c r="I18" s="49">
        <v>2102.0403930607417</v>
      </c>
      <c r="J18" s="49">
        <v>2144.7083309911472</v>
      </c>
      <c r="K18" s="49">
        <v>2183.2157403016886</v>
      </c>
      <c r="L18" s="13">
        <v>2181.3744956598962</v>
      </c>
      <c r="M18" s="13">
        <v>2239.8114086323458</v>
      </c>
      <c r="N18" s="13">
        <v>2194.3467130240988</v>
      </c>
      <c r="O18" s="13">
        <v>2374.6458794293653</v>
      </c>
      <c r="P18" s="13">
        <v>2347.9436854754204</v>
      </c>
      <c r="Q18" s="13">
        <v>2283.1146651934532</v>
      </c>
      <c r="R18" s="56">
        <f t="shared" si="8"/>
        <v>2389.1592527725011</v>
      </c>
      <c r="S18" s="14">
        <v>2495.2038403515489</v>
      </c>
      <c r="T18" s="13">
        <v>2413.5720914972435</v>
      </c>
      <c r="U18" s="13">
        <v>2319.4076433519276</v>
      </c>
      <c r="V18" s="13">
        <v>2334.5878580950389</v>
      </c>
      <c r="W18" s="13">
        <v>2452.5454992156647</v>
      </c>
      <c r="X18" s="13">
        <v>2436.678449078679</v>
      </c>
      <c r="Y18" s="13">
        <v>2349.2043362072891</v>
      </c>
      <c r="Z18" s="13">
        <v>2324.7501788751597</v>
      </c>
      <c r="AA18" s="13">
        <v>2383.3645837745676</v>
      </c>
      <c r="AB18" s="13">
        <v>2407.7830060247898</v>
      </c>
      <c r="AC18" s="13">
        <v>2395.0453345263841</v>
      </c>
      <c r="AD18" s="13">
        <v>2371.1383432732855</v>
      </c>
      <c r="AE18" s="13">
        <v>2386.369403957613</v>
      </c>
      <c r="AF18" s="13">
        <v>2284.0699604316255</v>
      </c>
      <c r="AG18" s="13">
        <v>2361.6611846591572</v>
      </c>
      <c r="AH18" s="13">
        <v>2329.2295431830357</v>
      </c>
      <c r="AI18" s="13">
        <v>2349.3566811121254</v>
      </c>
      <c r="AJ18" s="13">
        <v>2218.6031245910267</v>
      </c>
      <c r="AK18" s="13">
        <v>2338.1728937073949</v>
      </c>
      <c r="AL18" s="13">
        <v>2461.4411899760034</v>
      </c>
      <c r="AM18" s="13">
        <v>2332.4300403738853</v>
      </c>
      <c r="AN18" s="13">
        <v>2325.1595139641022</v>
      </c>
      <c r="AO18" s="13">
        <v>2363.1417833707037</v>
      </c>
      <c r="AP18" s="13">
        <v>2346.4731044714163</v>
      </c>
      <c r="AQ18" s="13">
        <v>2392.3125149989919</v>
      </c>
      <c r="AR18" s="13">
        <v>2265.4187816344784</v>
      </c>
      <c r="AS18" s="13">
        <v>2291.8324820228295</v>
      </c>
      <c r="AT18" s="13">
        <v>2215.5862582717959</v>
      </c>
      <c r="AU18" s="13">
        <v>2415.4560949318561</v>
      </c>
      <c r="AV18" s="13">
        <v>2294.327835071103</v>
      </c>
      <c r="AW18" s="13">
        <v>2262.8529964475592</v>
      </c>
      <c r="AX18" s="56">
        <f t="shared" si="9"/>
        <v>2346.5221967901466</v>
      </c>
      <c r="AY18" s="56">
        <f t="shared" si="10"/>
        <v>2388.3567969614405</v>
      </c>
      <c r="AZ18" s="56">
        <f t="shared" si="11"/>
        <v>2409.2740970470873</v>
      </c>
      <c r="BA18" s="34">
        <v>2430.191397132734</v>
      </c>
      <c r="BB18" s="13">
        <v>2463.3425473743046</v>
      </c>
      <c r="BC18" s="13">
        <v>2460.2628252508889</v>
      </c>
      <c r="BD18" s="13">
        <v>2499.6121356257486</v>
      </c>
      <c r="BE18" s="13">
        <v>2470.1166324222741</v>
      </c>
      <c r="BF18" s="13">
        <v>2531.9312874576394</v>
      </c>
      <c r="BG18" s="13">
        <v>2603.6439802698183</v>
      </c>
      <c r="BH18" s="13">
        <v>2541.7974726987541</v>
      </c>
      <c r="BI18" s="13">
        <v>2433.5215824976653</v>
      </c>
      <c r="BJ18" s="13">
        <v>2421.4991814922773</v>
      </c>
      <c r="BK18" s="49">
        <v>2443.484750142844</v>
      </c>
      <c r="BL18" s="49">
        <v>2372.201</v>
      </c>
      <c r="BM18" s="49">
        <v>2398.864</v>
      </c>
      <c r="BN18" s="49">
        <v>2468.8700876873654</v>
      </c>
      <c r="BO18" s="49">
        <v>2500.7939999999999</v>
      </c>
      <c r="BP18" s="49">
        <v>2406.3470000000002</v>
      </c>
      <c r="BQ18" s="49">
        <v>1612.6</v>
      </c>
      <c r="BR18" s="49">
        <v>1992.472</v>
      </c>
      <c r="BS18" s="49">
        <v>2154.2199999999998</v>
      </c>
      <c r="BT18" s="49">
        <v>2461.3040000000001</v>
      </c>
      <c r="BU18" s="49">
        <v>2430.1350000000002</v>
      </c>
      <c r="BV18" s="49">
        <v>2378.08</v>
      </c>
      <c r="BW18" s="49">
        <v>2406.8200000000002</v>
      </c>
      <c r="BX18" s="49">
        <v>2496.297</v>
      </c>
      <c r="BY18" s="49">
        <v>2568.866</v>
      </c>
      <c r="BZ18" s="49">
        <v>2440.71</v>
      </c>
      <c r="CA18" s="49">
        <v>2461.1880000000001</v>
      </c>
      <c r="CB18" s="49">
        <v>2505.4070000000002</v>
      </c>
      <c r="CC18" s="49">
        <v>2393.1799999999998</v>
      </c>
      <c r="CD18" s="49">
        <v>2521.9740000000002</v>
      </c>
      <c r="CE18" s="49">
        <v>2580.7820000000002</v>
      </c>
      <c r="CF18" s="49">
        <v>2447.663</v>
      </c>
      <c r="CG18" s="49">
        <v>2478.1950000000002</v>
      </c>
      <c r="CH18" s="49">
        <v>2513.183</v>
      </c>
      <c r="CI18" s="49">
        <v>2638.0920000000001</v>
      </c>
      <c r="CJ18" s="49">
        <v>2591.71</v>
      </c>
    </row>
    <row r="19" spans="1:88" ht="20.149999999999999" customHeight="1" x14ac:dyDescent="0.25">
      <c r="A19" s="12" t="s">
        <v>14</v>
      </c>
      <c r="B19" s="49">
        <v>439.15858678249322</v>
      </c>
      <c r="C19" s="49">
        <v>481.17016449935693</v>
      </c>
      <c r="D19" s="49">
        <v>471.05961507649869</v>
      </c>
      <c r="E19" s="49">
        <v>490.32419904394089</v>
      </c>
      <c r="F19" s="49">
        <v>520.69505413294087</v>
      </c>
      <c r="G19" s="49">
        <v>529.75292752112455</v>
      </c>
      <c r="H19" s="49">
        <v>474.87418083222263</v>
      </c>
      <c r="I19" s="49">
        <v>501.49674439135151</v>
      </c>
      <c r="J19" s="49">
        <v>575.2394229662591</v>
      </c>
      <c r="K19" s="49">
        <v>590.60747666731299</v>
      </c>
      <c r="L19" s="13">
        <v>588.37392684813005</v>
      </c>
      <c r="M19" s="13">
        <v>598.91015400527886</v>
      </c>
      <c r="N19" s="13">
        <v>582.128583975933</v>
      </c>
      <c r="O19" s="13">
        <v>657.39231659403185</v>
      </c>
      <c r="P19" s="13">
        <v>629.46432359106382</v>
      </c>
      <c r="Q19" s="13">
        <v>643.27630891145827</v>
      </c>
      <c r="R19" s="56">
        <f t="shared" si="8"/>
        <v>626.11858850695262</v>
      </c>
      <c r="S19" s="14">
        <v>608.96086810244697</v>
      </c>
      <c r="T19" s="13">
        <v>655.53315968850325</v>
      </c>
      <c r="U19" s="13">
        <v>627.5842489846508</v>
      </c>
      <c r="V19" s="13">
        <v>655.52135120114542</v>
      </c>
      <c r="W19" s="13">
        <v>649.01738360209276</v>
      </c>
      <c r="X19" s="13">
        <v>694.59730181874545</v>
      </c>
      <c r="Y19" s="13">
        <v>665.58441481806915</v>
      </c>
      <c r="Z19" s="13">
        <v>627.50785533885335</v>
      </c>
      <c r="AA19" s="13">
        <v>679.30283492124988</v>
      </c>
      <c r="AB19" s="13">
        <v>711.92236175421522</v>
      </c>
      <c r="AC19" s="13">
        <v>711.57506697699716</v>
      </c>
      <c r="AD19" s="13">
        <v>728.6996257589343</v>
      </c>
      <c r="AE19" s="13">
        <v>688.63637215892402</v>
      </c>
      <c r="AF19" s="13">
        <v>668.13032411622805</v>
      </c>
      <c r="AG19" s="13">
        <v>691.40342696548225</v>
      </c>
      <c r="AH19" s="13">
        <v>751.34337430508242</v>
      </c>
      <c r="AI19" s="13">
        <v>660.20581952109706</v>
      </c>
      <c r="AJ19" s="13">
        <v>644.87153825551047</v>
      </c>
      <c r="AK19" s="13">
        <v>690.72517050785336</v>
      </c>
      <c r="AL19" s="13">
        <v>725.10834271130534</v>
      </c>
      <c r="AM19" s="13">
        <v>768.12494580022428</v>
      </c>
      <c r="AN19" s="13">
        <v>680.49860371707155</v>
      </c>
      <c r="AO19" s="13">
        <v>726.53874267690173</v>
      </c>
      <c r="AP19" s="13">
        <v>755.26229004346135</v>
      </c>
      <c r="AQ19" s="13">
        <v>762.0263240912526</v>
      </c>
      <c r="AR19" s="13">
        <v>710.14360948369006</v>
      </c>
      <c r="AS19" s="13">
        <v>697.42984042824605</v>
      </c>
      <c r="AT19" s="13">
        <v>730.02261233138529</v>
      </c>
      <c r="AU19" s="13">
        <v>701.39745861864003</v>
      </c>
      <c r="AV19" s="13">
        <v>678.2851805371796</v>
      </c>
      <c r="AW19" s="13">
        <v>675.41307912470347</v>
      </c>
      <c r="AX19" s="56">
        <f t="shared" si="9"/>
        <v>702.32764769110713</v>
      </c>
      <c r="AY19" s="56">
        <f t="shared" si="10"/>
        <v>715.78493197430907</v>
      </c>
      <c r="AZ19" s="56">
        <f t="shared" si="11"/>
        <v>722.51357411590993</v>
      </c>
      <c r="BA19" s="34">
        <v>729.2422162575109</v>
      </c>
      <c r="BB19" s="13">
        <v>788.20351911120702</v>
      </c>
      <c r="BC19" s="13">
        <v>743.93663317616608</v>
      </c>
      <c r="BD19" s="13">
        <v>669.34726256445924</v>
      </c>
      <c r="BE19" s="13">
        <v>727.36495943651914</v>
      </c>
      <c r="BF19" s="13">
        <v>778.00331266883313</v>
      </c>
      <c r="BG19" s="13">
        <v>754.01038940449178</v>
      </c>
      <c r="BH19" s="13">
        <v>778.45333306824602</v>
      </c>
      <c r="BI19" s="13">
        <v>743.25172656986354</v>
      </c>
      <c r="BJ19" s="13">
        <v>743.13982483983159</v>
      </c>
      <c r="BK19" s="49">
        <v>726.83620851889975</v>
      </c>
      <c r="BL19" s="49">
        <v>720.73500000000001</v>
      </c>
      <c r="BM19" s="49">
        <v>732.86099999999999</v>
      </c>
      <c r="BN19" s="49">
        <v>699.9007506244227</v>
      </c>
      <c r="BO19" s="49">
        <v>689.16300000000001</v>
      </c>
      <c r="BP19" s="49">
        <v>732.37199999999996</v>
      </c>
      <c r="BQ19" s="49">
        <v>495.19900000000001</v>
      </c>
      <c r="BR19" s="49">
        <v>524.98099999999999</v>
      </c>
      <c r="BS19" s="49">
        <v>761.71799999999996</v>
      </c>
      <c r="BT19" s="49">
        <v>642.73500000000001</v>
      </c>
      <c r="BU19" s="49">
        <v>660.03800000000001</v>
      </c>
      <c r="BV19" s="49">
        <v>709.93799999999999</v>
      </c>
      <c r="BW19" s="49">
        <v>727.57399999999996</v>
      </c>
      <c r="BX19" s="49">
        <v>698.93100000000004</v>
      </c>
      <c r="BY19" s="49">
        <v>735.04</v>
      </c>
      <c r="BZ19" s="49">
        <v>716.90200000000004</v>
      </c>
      <c r="CA19" s="49">
        <v>736.64099999999996</v>
      </c>
      <c r="CB19" s="49">
        <v>729.38400000000001</v>
      </c>
      <c r="CC19" s="49">
        <v>718.34900000000005</v>
      </c>
      <c r="CD19" s="49">
        <v>795.72799999999995</v>
      </c>
      <c r="CE19" s="49">
        <v>768.36599999999999</v>
      </c>
      <c r="CF19" s="49">
        <v>771.62</v>
      </c>
      <c r="CG19" s="49">
        <v>762.56700000000001</v>
      </c>
      <c r="CH19" s="49">
        <v>744.33299999999997</v>
      </c>
      <c r="CI19" s="49">
        <v>764.93</v>
      </c>
      <c r="CJ19" s="49">
        <v>716.97500000000002</v>
      </c>
    </row>
    <row r="20" spans="1:88" ht="20.149999999999999" customHeight="1" thickBot="1" x14ac:dyDescent="0.3">
      <c r="A20" s="15" t="s">
        <v>15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40"/>
      <c r="S20" s="15"/>
      <c r="T20" s="15"/>
      <c r="U20" s="15"/>
      <c r="V20" s="15"/>
      <c r="W20" s="15"/>
      <c r="X20" s="15"/>
      <c r="Y20" s="16"/>
      <c r="Z20" s="16"/>
      <c r="AA20" s="16"/>
      <c r="AB20" s="16"/>
      <c r="AC20" s="16"/>
      <c r="AD20" s="16"/>
      <c r="AE20" s="16"/>
      <c r="AF20" s="16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40"/>
      <c r="AY20" s="40"/>
      <c r="AZ20" s="40"/>
      <c r="BA20" s="3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</row>
    <row r="21" spans="1:88" ht="20.149999999999999" customHeight="1" x14ac:dyDescent="0.25">
      <c r="A21" s="12" t="s">
        <v>16</v>
      </c>
      <c r="B21" s="49">
        <v>597.69266467481373</v>
      </c>
      <c r="C21" s="49">
        <v>584.79749723779878</v>
      </c>
      <c r="D21" s="49">
        <v>626.62919154796839</v>
      </c>
      <c r="E21" s="49">
        <v>605.59033900601185</v>
      </c>
      <c r="F21" s="49">
        <v>607.72327598521986</v>
      </c>
      <c r="G21" s="49">
        <v>616.25103222513712</v>
      </c>
      <c r="H21" s="49">
        <v>615.48531760808578</v>
      </c>
      <c r="I21" s="49">
        <v>580.53700880264262</v>
      </c>
      <c r="J21" s="49">
        <v>642.64619737314717</v>
      </c>
      <c r="K21" s="49">
        <v>696.96958161060411</v>
      </c>
      <c r="L21" s="13">
        <v>609.53385361285223</v>
      </c>
      <c r="M21" s="13">
        <v>683.06301007865204</v>
      </c>
      <c r="N21" s="13">
        <v>663.80408760607099</v>
      </c>
      <c r="O21" s="13">
        <v>702.69400400315669</v>
      </c>
      <c r="P21" s="13">
        <v>643.11298234731055</v>
      </c>
      <c r="Q21" s="13">
        <v>619.16897375093799</v>
      </c>
      <c r="R21" s="56">
        <f t="shared" ref="R21:R26" si="12">+(Q21+S21)/2</f>
        <v>648.92012954092286</v>
      </c>
      <c r="S21" s="14">
        <v>678.67128533090772</v>
      </c>
      <c r="T21" s="13">
        <v>637.82614664484254</v>
      </c>
      <c r="U21" s="13">
        <v>581.45766653892019</v>
      </c>
      <c r="V21" s="13">
        <v>612.93510525523504</v>
      </c>
      <c r="W21" s="13">
        <v>663.03202241212216</v>
      </c>
      <c r="X21" s="13">
        <v>630.13273350282452</v>
      </c>
      <c r="Y21" s="13">
        <v>598.05140771448077</v>
      </c>
      <c r="Z21" s="13">
        <v>613.15120382693885</v>
      </c>
      <c r="AA21" s="13">
        <v>572.41309783844076</v>
      </c>
      <c r="AB21" s="13">
        <v>523.29740821176665</v>
      </c>
      <c r="AC21" s="13">
        <v>555.74050627966233</v>
      </c>
      <c r="AD21" s="13">
        <v>547.17351563203624</v>
      </c>
      <c r="AE21" s="13">
        <v>530.75609063293825</v>
      </c>
      <c r="AF21" s="13">
        <v>500.5164679969111</v>
      </c>
      <c r="AG21" s="17">
        <v>514.11813102525969</v>
      </c>
      <c r="AH21" s="17">
        <v>535.29709774295281</v>
      </c>
      <c r="AI21" s="17">
        <v>510.64275425340179</v>
      </c>
      <c r="AJ21" s="17">
        <v>514.78923746073247</v>
      </c>
      <c r="AK21" s="17">
        <v>546.08446052983982</v>
      </c>
      <c r="AL21" s="17">
        <v>508.36665942446592</v>
      </c>
      <c r="AM21" s="17">
        <v>502.55022540799808</v>
      </c>
      <c r="AN21" s="17">
        <v>441.02063289987643</v>
      </c>
      <c r="AO21" s="17">
        <v>451.59406342614295</v>
      </c>
      <c r="AP21" s="17">
        <v>502.61131268433741</v>
      </c>
      <c r="AQ21" s="17">
        <v>504.12883460074778</v>
      </c>
      <c r="AR21" s="17">
        <v>488.11088897870161</v>
      </c>
      <c r="AS21" s="17">
        <v>410.82733656794898</v>
      </c>
      <c r="AT21" s="17">
        <v>440.20103239893325</v>
      </c>
      <c r="AU21" s="17">
        <v>478.07845436826761</v>
      </c>
      <c r="AV21" s="17">
        <v>456.72394952399554</v>
      </c>
      <c r="AW21" s="17">
        <v>435.74740207209214</v>
      </c>
      <c r="AX21" s="56">
        <f t="shared" ref="AX21:AX26" si="13">+(AW21+BA21)/2</f>
        <v>453.4733275569547</v>
      </c>
      <c r="AY21" s="56">
        <f t="shared" ref="AY21:AY26" si="14">+(AX21+BA21)/2</f>
        <v>462.33629029938595</v>
      </c>
      <c r="AZ21" s="56">
        <f t="shared" ref="AZ21:AZ26" si="15">+(AY21+BA21)/2</f>
        <v>466.76777167060163</v>
      </c>
      <c r="BA21" s="17">
        <v>471.19925304181726</v>
      </c>
      <c r="BB21" s="17">
        <v>495.90656466222094</v>
      </c>
      <c r="BC21" s="17">
        <v>460.18636614175432</v>
      </c>
      <c r="BD21" s="17">
        <v>515.03809076122013</v>
      </c>
      <c r="BE21" s="17">
        <v>441.44605190821801</v>
      </c>
      <c r="BF21" s="17">
        <v>458.37019413005493</v>
      </c>
      <c r="BG21" s="17">
        <v>462.36533260964899</v>
      </c>
      <c r="BH21" s="17">
        <v>440.79472742214517</v>
      </c>
      <c r="BI21" s="17">
        <v>430.15474904187073</v>
      </c>
      <c r="BJ21" s="17">
        <v>437.64367893481858</v>
      </c>
      <c r="BK21" s="51">
        <v>451.87248699380592</v>
      </c>
      <c r="BL21" s="51">
        <v>442.89800000000002</v>
      </c>
      <c r="BM21" s="51">
        <v>452.92599999999999</v>
      </c>
      <c r="BN21" s="51">
        <v>481.24802786628783</v>
      </c>
      <c r="BO21" s="51">
        <v>412.99700000000001</v>
      </c>
      <c r="BP21" s="51">
        <v>429.60199999999998</v>
      </c>
      <c r="BQ21" s="51">
        <v>265.69799999999998</v>
      </c>
      <c r="BR21" s="51">
        <v>349.08600000000001</v>
      </c>
      <c r="BS21" s="51">
        <v>424.202</v>
      </c>
      <c r="BT21" s="51">
        <v>317.21600000000001</v>
      </c>
      <c r="BU21" s="51">
        <v>325.827</v>
      </c>
      <c r="BV21" s="51">
        <v>403.17599999999999</v>
      </c>
      <c r="BW21" s="51">
        <v>375.53100000000001</v>
      </c>
      <c r="BX21" s="51">
        <v>414.51</v>
      </c>
      <c r="BY21" s="51">
        <v>434.577</v>
      </c>
      <c r="BZ21" s="51">
        <v>439.51600000000002</v>
      </c>
      <c r="CA21" s="51">
        <v>371.26299999999998</v>
      </c>
      <c r="CB21" s="51">
        <v>359.72699999999998</v>
      </c>
      <c r="CC21" s="51">
        <v>366.43200000000002</v>
      </c>
      <c r="CD21" s="51">
        <v>402.351</v>
      </c>
      <c r="CE21" s="51">
        <v>297.72500000000002</v>
      </c>
      <c r="CF21" s="51">
        <v>329.21600000000001</v>
      </c>
      <c r="CG21" s="51">
        <v>346.98599999999999</v>
      </c>
      <c r="CH21" s="51">
        <v>364.80099999999999</v>
      </c>
      <c r="CI21" s="51">
        <v>337.51499999999999</v>
      </c>
      <c r="CJ21" s="51">
        <v>322.91699999999997</v>
      </c>
    </row>
    <row r="22" spans="1:88" ht="20.149999999999999" customHeight="1" x14ac:dyDescent="0.25">
      <c r="A22" s="12" t="s">
        <v>17</v>
      </c>
      <c r="B22" s="49">
        <v>1750.4952512807643</v>
      </c>
      <c r="C22" s="49">
        <v>1921.931747168401</v>
      </c>
      <c r="D22" s="49">
        <v>1991.2926119589529</v>
      </c>
      <c r="E22" s="49">
        <v>1928.5381353762832</v>
      </c>
      <c r="F22" s="49">
        <v>2009.0816608247849</v>
      </c>
      <c r="G22" s="49">
        <v>2034.3352089304701</v>
      </c>
      <c r="H22" s="49">
        <v>2049.2377366470951</v>
      </c>
      <c r="I22" s="49">
        <v>2052.4534314537509</v>
      </c>
      <c r="J22" s="49">
        <v>2055.6879387702984</v>
      </c>
      <c r="K22" s="49">
        <v>2062.5998598567257</v>
      </c>
      <c r="L22" s="13">
        <v>2063.1890875776317</v>
      </c>
      <c r="M22" s="13">
        <v>2079.6320298508012</v>
      </c>
      <c r="N22" s="13">
        <v>2036.6825119183513</v>
      </c>
      <c r="O22" s="13">
        <v>2069.8198366424867</v>
      </c>
      <c r="P22" s="13">
        <v>2092.5744368862684</v>
      </c>
      <c r="Q22" s="13">
        <v>2096.4979352236337</v>
      </c>
      <c r="R22" s="56">
        <f t="shared" si="12"/>
        <v>2009.5086539001263</v>
      </c>
      <c r="S22" s="14">
        <v>1922.5193725766192</v>
      </c>
      <c r="T22" s="13">
        <v>2037.4651020328231</v>
      </c>
      <c r="U22" s="13">
        <v>2124.3942350137891</v>
      </c>
      <c r="V22" s="13">
        <v>2045.4789124574222</v>
      </c>
      <c r="W22" s="13">
        <v>1976.4388006223535</v>
      </c>
      <c r="X22" s="13">
        <v>2105.1033476585285</v>
      </c>
      <c r="Y22" s="13">
        <v>1993.8775271444035</v>
      </c>
      <c r="Z22" s="13">
        <v>1925.2748232527842</v>
      </c>
      <c r="AA22" s="13">
        <v>2046.006397388938</v>
      </c>
      <c r="AB22" s="13">
        <v>2036.1842323988385</v>
      </c>
      <c r="AC22" s="13">
        <v>1981.2625264790549</v>
      </c>
      <c r="AD22" s="13">
        <v>1968.9285462637097</v>
      </c>
      <c r="AE22" s="13">
        <v>2004.9435307254985</v>
      </c>
      <c r="AF22" s="13">
        <v>2011.1187264509965</v>
      </c>
      <c r="AG22" s="17">
        <v>1984.0902554601664</v>
      </c>
      <c r="AH22" s="17">
        <v>2043.8197443016861</v>
      </c>
      <c r="AI22" s="17">
        <v>1982.846358201436</v>
      </c>
      <c r="AJ22" s="17">
        <v>2012.7939120646975</v>
      </c>
      <c r="AK22" s="17">
        <v>2061.966316953452</v>
      </c>
      <c r="AL22" s="17">
        <v>1984.3147790523699</v>
      </c>
      <c r="AM22" s="17">
        <v>1957.7782621846663</v>
      </c>
      <c r="AN22" s="17">
        <v>1891.198170507407</v>
      </c>
      <c r="AO22" s="17">
        <v>1880.4971064069766</v>
      </c>
      <c r="AP22" s="17">
        <v>1930.0356148102367</v>
      </c>
      <c r="AQ22" s="17">
        <v>1864.0018163230923</v>
      </c>
      <c r="AR22" s="17">
        <v>1829.0074476788341</v>
      </c>
      <c r="AS22" s="17">
        <v>1872.9645346592908</v>
      </c>
      <c r="AT22" s="17">
        <v>1847.9600928726757</v>
      </c>
      <c r="AU22" s="17">
        <v>1918.2597903687952</v>
      </c>
      <c r="AV22" s="17">
        <v>1874.227209463259</v>
      </c>
      <c r="AW22" s="17">
        <v>1887.4510644437614</v>
      </c>
      <c r="AX22" s="56">
        <f t="shared" si="13"/>
        <v>1879.3358309292262</v>
      </c>
      <c r="AY22" s="56">
        <f t="shared" si="14"/>
        <v>1875.2782141719586</v>
      </c>
      <c r="AZ22" s="56">
        <f t="shared" si="15"/>
        <v>1873.2494057933247</v>
      </c>
      <c r="BA22" s="17">
        <v>1871.2205974146909</v>
      </c>
      <c r="BB22" s="17">
        <v>1846.1320292864098</v>
      </c>
      <c r="BC22" s="17">
        <v>1790.4523845013102</v>
      </c>
      <c r="BD22" s="17">
        <v>1653.9297288400569</v>
      </c>
      <c r="BE22" s="17">
        <v>1772.4949868054121</v>
      </c>
      <c r="BF22" s="17">
        <v>1795.8499568761765</v>
      </c>
      <c r="BG22" s="17">
        <v>1761.566721814826</v>
      </c>
      <c r="BH22" s="17">
        <v>1685.8625161835068</v>
      </c>
      <c r="BI22" s="17">
        <v>1635.0581497182834</v>
      </c>
      <c r="BJ22" s="17">
        <v>1623.8146874444774</v>
      </c>
      <c r="BK22" s="51">
        <v>1613.2346283844679</v>
      </c>
      <c r="BL22" s="51">
        <v>1655.0740000000001</v>
      </c>
      <c r="BM22" s="51">
        <v>1621.856</v>
      </c>
      <c r="BN22" s="51">
        <v>1569.4992809594678</v>
      </c>
      <c r="BO22" s="51">
        <v>1580.6590000000001</v>
      </c>
      <c r="BP22" s="51">
        <v>1669.277</v>
      </c>
      <c r="BQ22" s="51">
        <v>1167.0650000000001</v>
      </c>
      <c r="BR22" s="51">
        <v>1291.913</v>
      </c>
      <c r="BS22" s="51">
        <v>1527.296</v>
      </c>
      <c r="BT22" s="51">
        <v>1398.875</v>
      </c>
      <c r="BU22" s="51">
        <v>1409.8440000000001</v>
      </c>
      <c r="BV22" s="51">
        <v>1337.4649999999999</v>
      </c>
      <c r="BW22" s="51">
        <v>1451.62</v>
      </c>
      <c r="BX22" s="51">
        <v>1375.451</v>
      </c>
      <c r="BY22" s="51">
        <v>1436.3309999999999</v>
      </c>
      <c r="BZ22" s="51">
        <v>1464.6130000000001</v>
      </c>
      <c r="CA22" s="51">
        <v>1420.557</v>
      </c>
      <c r="CB22" s="51">
        <v>1476.5160000000001</v>
      </c>
      <c r="CC22" s="51">
        <v>1448.5630000000001</v>
      </c>
      <c r="CD22" s="51">
        <v>1417.165</v>
      </c>
      <c r="CE22" s="51">
        <v>1445.0540000000001</v>
      </c>
      <c r="CF22" s="51">
        <v>1303.384</v>
      </c>
      <c r="CG22" s="51">
        <v>1415.222</v>
      </c>
      <c r="CH22" s="51">
        <v>1319.624</v>
      </c>
      <c r="CI22" s="51">
        <v>1360.432</v>
      </c>
      <c r="CJ22" s="51">
        <v>1355.5840000000001</v>
      </c>
    </row>
    <row r="23" spans="1:88" ht="20.149999999999999" customHeight="1" x14ac:dyDescent="0.25">
      <c r="A23" s="12" t="s">
        <v>18</v>
      </c>
      <c r="B23" s="49">
        <v>1568.4090185385603</v>
      </c>
      <c r="C23" s="49">
        <v>1545.4559602764245</v>
      </c>
      <c r="D23" s="49">
        <v>1497.309522190837</v>
      </c>
      <c r="E23" s="49">
        <v>1538.873162715231</v>
      </c>
      <c r="F23" s="49">
        <v>1561.4999376499009</v>
      </c>
      <c r="G23" s="49">
        <v>1564.1584123026391</v>
      </c>
      <c r="H23" s="49">
        <v>1609.7823257213809</v>
      </c>
      <c r="I23" s="49">
        <v>1496.8140906190235</v>
      </c>
      <c r="J23" s="49">
        <v>1630.817002463029</v>
      </c>
      <c r="K23" s="49">
        <v>1649.4400603881868</v>
      </c>
      <c r="L23" s="13">
        <v>1630.5888702605846</v>
      </c>
      <c r="M23" s="13">
        <v>1647.2727591929213</v>
      </c>
      <c r="N23" s="13">
        <v>1682.4099401222497</v>
      </c>
      <c r="O23" s="13">
        <v>1737.4163031456908</v>
      </c>
      <c r="P23" s="13">
        <v>1765.4649885434919</v>
      </c>
      <c r="Q23" s="13">
        <v>1774.2366991860076</v>
      </c>
      <c r="R23" s="56">
        <f t="shared" si="12"/>
        <v>1784.4822302877992</v>
      </c>
      <c r="S23" s="14">
        <v>1794.727761389591</v>
      </c>
      <c r="T23" s="13">
        <v>1745.5146573001671</v>
      </c>
      <c r="U23" s="13">
        <v>1759.6656210037902</v>
      </c>
      <c r="V23" s="13">
        <v>1735.9003235638766</v>
      </c>
      <c r="W23" s="13">
        <v>1831.2142316206841</v>
      </c>
      <c r="X23" s="13">
        <v>1800.1309104086602</v>
      </c>
      <c r="Y23" s="13">
        <v>1775.964776354971</v>
      </c>
      <c r="Z23" s="13">
        <v>1767.2712186451674</v>
      </c>
      <c r="AA23" s="13">
        <v>1796.803865298386</v>
      </c>
      <c r="AB23" s="13">
        <v>1749.9006287689758</v>
      </c>
      <c r="AC23" s="13">
        <v>1827.9622680103303</v>
      </c>
      <c r="AD23" s="13">
        <v>1804.7363535259376</v>
      </c>
      <c r="AE23" s="13">
        <v>1752.4329997272196</v>
      </c>
      <c r="AF23" s="13">
        <v>1804.993925152439</v>
      </c>
      <c r="AG23" s="17">
        <v>1915.2348282374896</v>
      </c>
      <c r="AH23" s="17">
        <v>1924.2757119701753</v>
      </c>
      <c r="AI23" s="17">
        <v>1867.2298859493185</v>
      </c>
      <c r="AJ23" s="17">
        <v>1766.8882983065112</v>
      </c>
      <c r="AK23" s="17">
        <v>1806.8557261996009</v>
      </c>
      <c r="AL23" s="17">
        <v>1914.7152621962962</v>
      </c>
      <c r="AM23" s="17">
        <v>1873.8862020349</v>
      </c>
      <c r="AN23" s="17">
        <v>1762.5317754161763</v>
      </c>
      <c r="AO23" s="17">
        <v>1912.9615507258186</v>
      </c>
      <c r="AP23" s="17">
        <v>1896.1182503451785</v>
      </c>
      <c r="AQ23" s="17">
        <v>1969.1436293326426</v>
      </c>
      <c r="AR23" s="17">
        <v>1931.9430702397326</v>
      </c>
      <c r="AS23" s="17">
        <v>1887.3931643455476</v>
      </c>
      <c r="AT23" s="17">
        <v>1932.7967461398919</v>
      </c>
      <c r="AU23" s="17">
        <v>1900.6792600990377</v>
      </c>
      <c r="AV23" s="17">
        <v>1780.409841231027</v>
      </c>
      <c r="AW23" s="17">
        <v>1937.5283524660219</v>
      </c>
      <c r="AX23" s="56">
        <f t="shared" si="13"/>
        <v>1901.6971432051389</v>
      </c>
      <c r="AY23" s="56">
        <f t="shared" si="14"/>
        <v>1883.7815385746974</v>
      </c>
      <c r="AZ23" s="56">
        <f t="shared" si="15"/>
        <v>1874.8237362594766</v>
      </c>
      <c r="BA23" s="17">
        <v>1865.8659339442559</v>
      </c>
      <c r="BB23" s="17">
        <v>1949.2789016354</v>
      </c>
      <c r="BC23" s="17">
        <v>1925.4157321648831</v>
      </c>
      <c r="BD23" s="17">
        <v>1934.4259075422181</v>
      </c>
      <c r="BE23" s="17">
        <v>1954.1228870231687</v>
      </c>
      <c r="BF23" s="17">
        <v>1980.3333261895505</v>
      </c>
      <c r="BG23" s="17">
        <v>1983.0110679008026</v>
      </c>
      <c r="BH23" s="17">
        <v>1911.7532654947156</v>
      </c>
      <c r="BI23" s="17">
        <v>1982.0951652230265</v>
      </c>
      <c r="BJ23" s="17">
        <v>2032.9312540385786</v>
      </c>
      <c r="BK23" s="51">
        <v>1901.3955080153353</v>
      </c>
      <c r="BL23" s="51">
        <v>1890.681</v>
      </c>
      <c r="BM23" s="51">
        <v>1882.616</v>
      </c>
      <c r="BN23" s="51">
        <v>1900.2281023760017</v>
      </c>
      <c r="BO23" s="51">
        <v>1918.7080000000001</v>
      </c>
      <c r="BP23" s="51">
        <v>1923.6579999999999</v>
      </c>
      <c r="BQ23" s="51">
        <v>1460.65</v>
      </c>
      <c r="BR23" s="51">
        <v>1729.626</v>
      </c>
      <c r="BS23" s="51">
        <v>2025.674</v>
      </c>
      <c r="BT23" s="51">
        <v>2016.4069999999999</v>
      </c>
      <c r="BU23" s="51">
        <v>1896.788</v>
      </c>
      <c r="BV23" s="51">
        <v>1886.51</v>
      </c>
      <c r="BW23" s="51">
        <v>2024.595</v>
      </c>
      <c r="BX23" s="51">
        <v>2081.0929999999998</v>
      </c>
      <c r="BY23" s="51">
        <v>2096.1990000000001</v>
      </c>
      <c r="BZ23" s="51">
        <v>2163.2190000000001</v>
      </c>
      <c r="CA23" s="51">
        <v>2220.2420000000002</v>
      </c>
      <c r="CB23" s="51">
        <v>2179.2179999999998</v>
      </c>
      <c r="CC23" s="51">
        <v>2107.0219999999999</v>
      </c>
      <c r="CD23" s="51">
        <v>2060.5540000000001</v>
      </c>
      <c r="CE23" s="51">
        <v>2159.0039999999999</v>
      </c>
      <c r="CF23" s="51">
        <v>2019.2950000000001</v>
      </c>
      <c r="CG23" s="51">
        <v>2148.7249999999999</v>
      </c>
      <c r="CH23" s="51">
        <v>2014.5550000000001</v>
      </c>
      <c r="CI23" s="51">
        <v>2008.17</v>
      </c>
      <c r="CJ23" s="51">
        <v>2093.018</v>
      </c>
    </row>
    <row r="24" spans="1:88" ht="20.149999999999999" customHeight="1" x14ac:dyDescent="0.25">
      <c r="A24" s="12" t="s">
        <v>19</v>
      </c>
      <c r="B24" s="49">
        <v>1723.5577597518757</v>
      </c>
      <c r="C24" s="49">
        <v>1785.8560880821533</v>
      </c>
      <c r="D24" s="49">
        <v>1805.1580637113032</v>
      </c>
      <c r="E24" s="49">
        <v>1871.8920602875689</v>
      </c>
      <c r="F24" s="49">
        <v>1910.2938880072395</v>
      </c>
      <c r="G24" s="49">
        <v>1979.4564680318979</v>
      </c>
      <c r="H24" s="49">
        <v>1925.2357595812498</v>
      </c>
      <c r="I24" s="49">
        <v>2030.5792341395809</v>
      </c>
      <c r="J24" s="49">
        <v>2071.5596569815621</v>
      </c>
      <c r="K24" s="49">
        <v>2012.4735535824718</v>
      </c>
      <c r="L24" s="13">
        <v>2100.3699555067419</v>
      </c>
      <c r="M24" s="13">
        <v>2163.1463004440379</v>
      </c>
      <c r="N24" s="13">
        <v>2175.8693900968665</v>
      </c>
      <c r="O24" s="13">
        <v>2232.4821245990065</v>
      </c>
      <c r="P24" s="13">
        <v>2235.3425036954395</v>
      </c>
      <c r="Q24" s="13">
        <v>2337.7231344929874</v>
      </c>
      <c r="R24" s="56">
        <f t="shared" si="12"/>
        <v>2388.3039075757392</v>
      </c>
      <c r="S24" s="14">
        <v>2438.8846806584911</v>
      </c>
      <c r="T24" s="13">
        <v>2360.6663228540051</v>
      </c>
      <c r="U24" s="13">
        <v>2478.6005428184931</v>
      </c>
      <c r="V24" s="13">
        <v>2551.5353929712965</v>
      </c>
      <c r="W24" s="13">
        <v>2528.0695660079527</v>
      </c>
      <c r="X24" s="13">
        <v>2454.5529886870295</v>
      </c>
      <c r="Y24" s="13">
        <v>2518.5497564336656</v>
      </c>
      <c r="Z24" s="13">
        <v>2569.5697788382286</v>
      </c>
      <c r="AA24" s="13">
        <v>2580.2400764680251</v>
      </c>
      <c r="AB24" s="13">
        <v>2555.202458627241</v>
      </c>
      <c r="AC24" s="13">
        <v>2509.8867139515073</v>
      </c>
      <c r="AD24" s="13">
        <v>2642.6819416657272</v>
      </c>
      <c r="AE24" s="13">
        <v>2650.4687726189027</v>
      </c>
      <c r="AF24" s="13">
        <v>2627.8359976652423</v>
      </c>
      <c r="AG24" s="17">
        <v>2710.563199155531</v>
      </c>
      <c r="AH24" s="17">
        <v>2672.5107135420535</v>
      </c>
      <c r="AI24" s="17">
        <v>2748.1378175222367</v>
      </c>
      <c r="AJ24" s="17">
        <v>2778.5014558269449</v>
      </c>
      <c r="AK24" s="17">
        <v>2801.6882182151371</v>
      </c>
      <c r="AL24" s="17">
        <v>2937.973664197003</v>
      </c>
      <c r="AM24" s="17">
        <v>2893.3613321940129</v>
      </c>
      <c r="AN24" s="17">
        <v>2820.4267315998877</v>
      </c>
      <c r="AO24" s="17">
        <v>3047.2449627444457</v>
      </c>
      <c r="AP24" s="17">
        <v>2901.6443083022568</v>
      </c>
      <c r="AQ24" s="17">
        <v>2960.2256328021303</v>
      </c>
      <c r="AR24" s="17">
        <v>2911.732389123647</v>
      </c>
      <c r="AS24" s="17">
        <v>2934.9321116131609</v>
      </c>
      <c r="AT24" s="17">
        <v>2800.0884477467102</v>
      </c>
      <c r="AU24" s="17">
        <v>2884.6851949954876</v>
      </c>
      <c r="AV24" s="17">
        <v>2932.2087148549344</v>
      </c>
      <c r="AW24" s="17">
        <v>2955.0526257430824</v>
      </c>
      <c r="AX24" s="56">
        <f t="shared" si="13"/>
        <v>3017.7030133882654</v>
      </c>
      <c r="AY24" s="56">
        <f t="shared" si="14"/>
        <v>3049.0282072108571</v>
      </c>
      <c r="AZ24" s="56">
        <f t="shared" si="15"/>
        <v>3064.6908041221532</v>
      </c>
      <c r="BA24" s="17">
        <v>3080.3534010334488</v>
      </c>
      <c r="BB24" s="17">
        <v>3145.6367130424783</v>
      </c>
      <c r="BC24" s="17">
        <v>3238.8932940258678</v>
      </c>
      <c r="BD24" s="17">
        <v>3168.6832711362567</v>
      </c>
      <c r="BE24" s="17">
        <v>3182.5722568261449</v>
      </c>
      <c r="BF24" s="17">
        <v>3243.7028115546359</v>
      </c>
      <c r="BG24" s="17">
        <v>3267.8414526297875</v>
      </c>
      <c r="BH24" s="17">
        <v>3338.2955473261554</v>
      </c>
      <c r="BI24" s="17">
        <v>3296.811454475393</v>
      </c>
      <c r="BJ24" s="17">
        <v>3371.640697046756</v>
      </c>
      <c r="BK24" s="51">
        <v>3309.9952127270913</v>
      </c>
      <c r="BL24" s="51">
        <v>3299.8809999999999</v>
      </c>
      <c r="BM24" s="51">
        <v>3316.0329999999999</v>
      </c>
      <c r="BN24" s="51">
        <v>3306.5626601158233</v>
      </c>
      <c r="BO24" s="51">
        <v>3383.0619999999999</v>
      </c>
      <c r="BP24" s="51">
        <v>3259.0390000000002</v>
      </c>
      <c r="BQ24" s="51">
        <v>2592.3409999999999</v>
      </c>
      <c r="BR24" s="51">
        <v>2766.337</v>
      </c>
      <c r="BS24" s="51">
        <v>2927.4679999999998</v>
      </c>
      <c r="BT24" s="51">
        <v>3135.011</v>
      </c>
      <c r="BU24" s="51">
        <v>3118.4720000000002</v>
      </c>
      <c r="BV24" s="51">
        <v>3321.4560000000001</v>
      </c>
      <c r="BW24" s="51">
        <v>3478.9009999999998</v>
      </c>
      <c r="BX24" s="51">
        <v>3484.6970000000001</v>
      </c>
      <c r="BY24" s="51">
        <v>3669.7539999999999</v>
      </c>
      <c r="BZ24" s="51">
        <v>3532.0259999999998</v>
      </c>
      <c r="CA24" s="51">
        <v>3712.6129999999998</v>
      </c>
      <c r="CB24" s="51">
        <v>4013.3240000000001</v>
      </c>
      <c r="CC24" s="51">
        <v>3863.2550000000001</v>
      </c>
      <c r="CD24" s="51">
        <v>3900.529</v>
      </c>
      <c r="CE24" s="51">
        <v>3903.1280000000002</v>
      </c>
      <c r="CF24" s="51">
        <v>4060.7530000000002</v>
      </c>
      <c r="CG24" s="51">
        <v>3853.674</v>
      </c>
      <c r="CH24" s="51">
        <v>3969.154</v>
      </c>
      <c r="CI24" s="51">
        <v>4090.7359999999999</v>
      </c>
      <c r="CJ24" s="51">
        <v>4070.625</v>
      </c>
    </row>
    <row r="25" spans="1:88" ht="20.149999999999999" customHeight="1" x14ac:dyDescent="0.25">
      <c r="A25" s="12" t="s">
        <v>20</v>
      </c>
      <c r="B25" s="49">
        <v>1141.5265926586362</v>
      </c>
      <c r="C25" s="49">
        <v>1184.8913367301284</v>
      </c>
      <c r="D25" s="49">
        <v>1178.1934066800432</v>
      </c>
      <c r="E25" s="49">
        <v>1260.7981685348982</v>
      </c>
      <c r="F25" s="49">
        <v>1242.656444129364</v>
      </c>
      <c r="G25" s="49">
        <v>1293.7630510640292</v>
      </c>
      <c r="H25" s="49">
        <v>1195.5600416235932</v>
      </c>
      <c r="I25" s="49">
        <v>1328.5487557530328</v>
      </c>
      <c r="J25" s="49">
        <v>1306.489088723647</v>
      </c>
      <c r="K25" s="49">
        <v>1382.9408480485693</v>
      </c>
      <c r="L25" s="13">
        <v>1322.8025334883846</v>
      </c>
      <c r="M25" s="13">
        <v>1410.0018652250969</v>
      </c>
      <c r="N25" s="13">
        <v>1459.1591199269053</v>
      </c>
      <c r="O25" s="13">
        <v>1385.7835738234364</v>
      </c>
      <c r="P25" s="13">
        <v>1348.2150988070612</v>
      </c>
      <c r="Q25" s="13">
        <v>1430.7005930831469</v>
      </c>
      <c r="R25" s="56">
        <f t="shared" si="12"/>
        <v>1422.2323895430791</v>
      </c>
      <c r="S25" s="14">
        <v>1413.7641860030114</v>
      </c>
      <c r="T25" s="13">
        <v>1383.7262015511189</v>
      </c>
      <c r="U25" s="13">
        <v>1396.5886994391381</v>
      </c>
      <c r="V25" s="13">
        <v>1397.4344116419607</v>
      </c>
      <c r="W25" s="13">
        <v>1445.5535294223766</v>
      </c>
      <c r="X25" s="13">
        <v>1385.2366189801503</v>
      </c>
      <c r="Y25" s="13">
        <v>1446.4562652789693</v>
      </c>
      <c r="Z25" s="13">
        <v>1471.7441291824632</v>
      </c>
      <c r="AA25" s="13">
        <v>1475.6699958094803</v>
      </c>
      <c r="AB25" s="13">
        <v>1461.8520667304217</v>
      </c>
      <c r="AC25" s="13">
        <v>1507.0609726768539</v>
      </c>
      <c r="AD25" s="13">
        <v>1490.6893197065656</v>
      </c>
      <c r="AE25" s="13">
        <v>1499.0710397491132</v>
      </c>
      <c r="AF25" s="13">
        <v>1544.0579260335651</v>
      </c>
      <c r="AG25" s="17">
        <v>1505.5019759894317</v>
      </c>
      <c r="AH25" s="17">
        <v>1505.5805738198417</v>
      </c>
      <c r="AI25" s="17">
        <v>1532.2402266137949</v>
      </c>
      <c r="AJ25" s="17">
        <v>1435.8871665972868</v>
      </c>
      <c r="AK25" s="17">
        <v>1469.6787989145162</v>
      </c>
      <c r="AL25" s="17">
        <v>1520.5786608138994</v>
      </c>
      <c r="AM25" s="17">
        <v>1512.8933515202602</v>
      </c>
      <c r="AN25" s="17">
        <v>1532.0172783789012</v>
      </c>
      <c r="AO25" s="17">
        <v>1517.7690155391604</v>
      </c>
      <c r="AP25" s="17">
        <v>1499.5638518935461</v>
      </c>
      <c r="AQ25" s="17">
        <v>1500.4232624257284</v>
      </c>
      <c r="AR25" s="17">
        <v>1505.4588505916272</v>
      </c>
      <c r="AS25" s="17">
        <v>1417.0194359452353</v>
      </c>
      <c r="AT25" s="17">
        <v>1433.9707700998617</v>
      </c>
      <c r="AU25" s="17">
        <v>1495.3045208044155</v>
      </c>
      <c r="AV25" s="17">
        <v>1547.3482225806736</v>
      </c>
      <c r="AW25" s="17">
        <v>1466.2573460419867</v>
      </c>
      <c r="AX25" s="56">
        <f t="shared" si="13"/>
        <v>1506.4160577208684</v>
      </c>
      <c r="AY25" s="56">
        <f t="shared" si="14"/>
        <v>1526.4954135603093</v>
      </c>
      <c r="AZ25" s="56">
        <f t="shared" si="15"/>
        <v>1536.5350914800297</v>
      </c>
      <c r="BA25" s="17">
        <v>1546.57476939975</v>
      </c>
      <c r="BB25" s="17">
        <v>1557.9548855003261</v>
      </c>
      <c r="BC25" s="17">
        <v>1518.5097304218343</v>
      </c>
      <c r="BD25" s="17">
        <v>1569.7823017160345</v>
      </c>
      <c r="BE25" s="17">
        <v>1646.9463899308664</v>
      </c>
      <c r="BF25" s="17">
        <v>1697.6261741132021</v>
      </c>
      <c r="BG25" s="17">
        <v>1695.0232324734734</v>
      </c>
      <c r="BH25" s="17">
        <v>1692.8225725027289</v>
      </c>
      <c r="BI25" s="17">
        <v>1710.023354870769</v>
      </c>
      <c r="BJ25" s="17">
        <v>1712.0979181333175</v>
      </c>
      <c r="BK25" s="51">
        <v>1744.7068960708968</v>
      </c>
      <c r="BL25" s="51">
        <v>1702.9380000000001</v>
      </c>
      <c r="BM25" s="51">
        <v>1799.45</v>
      </c>
      <c r="BN25" s="51">
        <v>1781.6189472266262</v>
      </c>
      <c r="BO25" s="51">
        <v>1797.1289999999999</v>
      </c>
      <c r="BP25" s="51">
        <v>1806.491</v>
      </c>
      <c r="BQ25" s="51">
        <v>1455.0350000000001</v>
      </c>
      <c r="BR25" s="51">
        <v>1613.7909999999999</v>
      </c>
      <c r="BS25" s="51">
        <v>1644.395</v>
      </c>
      <c r="BT25" s="51">
        <v>1945.2249999999999</v>
      </c>
      <c r="BU25" s="51">
        <v>1850.6579999999999</v>
      </c>
      <c r="BV25" s="51">
        <v>1983.59</v>
      </c>
      <c r="BW25" s="51">
        <v>1945.8019999999999</v>
      </c>
      <c r="BX25" s="51">
        <v>1908.066</v>
      </c>
      <c r="BY25" s="51">
        <v>1971.671</v>
      </c>
      <c r="BZ25" s="51">
        <v>1959.0840000000001</v>
      </c>
      <c r="CA25" s="51">
        <v>1917.24</v>
      </c>
      <c r="CB25" s="51">
        <v>1910.04</v>
      </c>
      <c r="CC25" s="51">
        <v>1954.4839999999999</v>
      </c>
      <c r="CD25" s="51">
        <v>2074.1030000000001</v>
      </c>
      <c r="CE25" s="51">
        <v>2001.6880000000001</v>
      </c>
      <c r="CF25" s="51">
        <v>1915.191</v>
      </c>
      <c r="CG25" s="51">
        <v>1974.566</v>
      </c>
      <c r="CH25" s="51">
        <v>1982.008</v>
      </c>
      <c r="CI25" s="51">
        <v>2049.337</v>
      </c>
      <c r="CJ25" s="51">
        <v>2013.383</v>
      </c>
    </row>
    <row r="26" spans="1:88" ht="20.149999999999999" customHeight="1" x14ac:dyDescent="0.25">
      <c r="A26" s="12" t="s">
        <v>21</v>
      </c>
      <c r="B26" s="49">
        <v>1646.979494508776</v>
      </c>
      <c r="C26" s="49">
        <v>1619.3655852983336</v>
      </c>
      <c r="D26" s="49">
        <v>1576.0940992229891</v>
      </c>
      <c r="E26" s="49">
        <v>1648.6723995604764</v>
      </c>
      <c r="F26" s="49">
        <v>1691.3790496980519</v>
      </c>
      <c r="G26" s="49">
        <v>1676.9549615349949</v>
      </c>
      <c r="H26" s="49">
        <v>1689.7109045855707</v>
      </c>
      <c r="I26" s="49">
        <v>1705.7910707033598</v>
      </c>
      <c r="J26" s="49">
        <v>1826.2265478136139</v>
      </c>
      <c r="K26" s="49">
        <v>1870.6956449212535</v>
      </c>
      <c r="L26" s="13">
        <v>1833.4713127311441</v>
      </c>
      <c r="M26" s="13">
        <v>1862.6564689595407</v>
      </c>
      <c r="N26" s="13">
        <v>1889.9384732968713</v>
      </c>
      <c r="O26" s="13">
        <v>1964.0622938748973</v>
      </c>
      <c r="P26" s="13">
        <v>1971.3321737971951</v>
      </c>
      <c r="Q26" s="13">
        <v>1959.9200721801826</v>
      </c>
      <c r="R26" s="56">
        <f t="shared" si="12"/>
        <v>1986.0237801918183</v>
      </c>
      <c r="S26" s="14">
        <v>2012.127488203454</v>
      </c>
      <c r="T26" s="13">
        <v>2113.5276795108302</v>
      </c>
      <c r="U26" s="13">
        <v>2023.1608172818032</v>
      </c>
      <c r="V26" s="13">
        <v>2005.6633379344985</v>
      </c>
      <c r="W26" s="13">
        <v>2165.5198310720461</v>
      </c>
      <c r="X26" s="13">
        <v>2213.0548602849431</v>
      </c>
      <c r="Y26" s="13">
        <v>2197.5634738428985</v>
      </c>
      <c r="Z26" s="13">
        <v>2125.1295943209839</v>
      </c>
      <c r="AA26" s="13">
        <v>2178.5960149171851</v>
      </c>
      <c r="AB26" s="13">
        <v>2298.8996696088761</v>
      </c>
      <c r="AC26" s="13">
        <v>2314.3674932051977</v>
      </c>
      <c r="AD26" s="13">
        <v>2279.7931333128417</v>
      </c>
      <c r="AE26" s="13">
        <v>2309.1878268918513</v>
      </c>
      <c r="AF26" s="13">
        <v>2263.798726883575</v>
      </c>
      <c r="AG26" s="17">
        <v>2371.0339707769313</v>
      </c>
      <c r="AH26" s="17">
        <v>2405.1383047845902</v>
      </c>
      <c r="AI26" s="17">
        <v>2386.9349849101136</v>
      </c>
      <c r="AJ26" s="17">
        <v>2380.7987257392479</v>
      </c>
      <c r="AK26" s="17">
        <v>2380.582848308934</v>
      </c>
      <c r="AL26" s="17">
        <v>2349.1552984415189</v>
      </c>
      <c r="AM26" s="17">
        <v>2468.9031103114303</v>
      </c>
      <c r="AN26" s="17">
        <v>2537.3513887741633</v>
      </c>
      <c r="AO26" s="17">
        <v>2441.4401448340809</v>
      </c>
      <c r="AP26" s="17">
        <v>2523.6890890194418</v>
      </c>
      <c r="AQ26" s="17">
        <v>2424.1130856081913</v>
      </c>
      <c r="AR26" s="17">
        <v>2343.2866987041098</v>
      </c>
      <c r="AS26" s="17">
        <v>2377.1022180334612</v>
      </c>
      <c r="AT26" s="17">
        <v>2478.4256968729542</v>
      </c>
      <c r="AU26" s="17">
        <v>2462.8996906900275</v>
      </c>
      <c r="AV26" s="17">
        <v>2419.4691421776452</v>
      </c>
      <c r="AW26" s="17">
        <v>2378.4624130460084</v>
      </c>
      <c r="AX26" s="56">
        <f t="shared" si="13"/>
        <v>2470.9510225691852</v>
      </c>
      <c r="AY26" s="56">
        <f t="shared" si="14"/>
        <v>2517.1953273307736</v>
      </c>
      <c r="AZ26" s="56">
        <f t="shared" si="15"/>
        <v>2540.317479711568</v>
      </c>
      <c r="BA26" s="17">
        <v>2563.439632092362</v>
      </c>
      <c r="BB26" s="17">
        <v>2619.3082617390824</v>
      </c>
      <c r="BC26" s="17">
        <v>2663.2922711522265</v>
      </c>
      <c r="BD26" s="17">
        <v>2618.9621959120632</v>
      </c>
      <c r="BE26" s="17">
        <v>2513.464803562892</v>
      </c>
      <c r="BF26" s="17">
        <v>2634.9181689933334</v>
      </c>
      <c r="BG26" s="17">
        <v>2841.5193209054942</v>
      </c>
      <c r="BH26" s="17">
        <v>2796.8523266980978</v>
      </c>
      <c r="BI26" s="17">
        <v>2703.4555418593927</v>
      </c>
      <c r="BJ26" s="17">
        <v>2759.7508270016947</v>
      </c>
      <c r="BK26" s="51">
        <v>2887.766654885866</v>
      </c>
      <c r="BL26" s="51">
        <v>2856.1869999999999</v>
      </c>
      <c r="BM26" s="51">
        <v>2893.8809999999999</v>
      </c>
      <c r="BN26" s="51">
        <v>3069.8744443130508</v>
      </c>
      <c r="BO26" s="51">
        <v>3049.7289999999998</v>
      </c>
      <c r="BP26" s="51">
        <v>2856.9949999999999</v>
      </c>
      <c r="BQ26" s="51">
        <v>2509.3429999999998</v>
      </c>
      <c r="BR26" s="51">
        <v>2820.386</v>
      </c>
      <c r="BS26" s="51">
        <v>2872.7220000000002</v>
      </c>
      <c r="BT26" s="51">
        <v>3050.3229999999999</v>
      </c>
      <c r="BU26" s="51">
        <v>3223.5650000000001</v>
      </c>
      <c r="BV26" s="51">
        <v>3290.4490000000001</v>
      </c>
      <c r="BW26" s="51">
        <v>3230.0039999999999</v>
      </c>
      <c r="BX26" s="51">
        <v>3141.4490000000001</v>
      </c>
      <c r="BY26" s="51">
        <v>3187.163</v>
      </c>
      <c r="BZ26" s="51">
        <v>3153.0549999999998</v>
      </c>
      <c r="CA26" s="51">
        <v>3240.194</v>
      </c>
      <c r="CB26" s="51">
        <v>3066.567</v>
      </c>
      <c r="CC26" s="51">
        <v>3152.7130000000002</v>
      </c>
      <c r="CD26" s="51">
        <v>3337.96</v>
      </c>
      <c r="CE26" s="51">
        <v>3436.1</v>
      </c>
      <c r="CF26" s="51">
        <v>3254.3519999999999</v>
      </c>
      <c r="CG26" s="51">
        <v>3345.741</v>
      </c>
      <c r="CH26" s="51">
        <v>3541.9560000000001</v>
      </c>
      <c r="CI26" s="51">
        <v>3608.7930000000001</v>
      </c>
      <c r="CJ26" s="51">
        <v>3287.7249999999999</v>
      </c>
    </row>
    <row r="27" spans="1:88" ht="20.149999999999999" customHeight="1" thickBot="1" x14ac:dyDescent="0.3">
      <c r="A27" s="15" t="s">
        <v>22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40"/>
      <c r="S27" s="15"/>
      <c r="T27" s="15"/>
      <c r="U27" s="15"/>
      <c r="V27" s="15"/>
      <c r="W27" s="15"/>
      <c r="X27" s="15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40"/>
      <c r="AY27" s="40"/>
      <c r="AZ27" s="40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</row>
    <row r="28" spans="1:88" ht="20.149999999999999" customHeight="1" x14ac:dyDescent="0.25">
      <c r="A28" s="12" t="s">
        <v>23</v>
      </c>
      <c r="B28" s="49">
        <v>328.69748930923714</v>
      </c>
      <c r="C28" s="49">
        <v>363.11408763789223</v>
      </c>
      <c r="D28" s="49">
        <v>342.95957887628748</v>
      </c>
      <c r="E28" s="49">
        <v>372.01512176041899</v>
      </c>
      <c r="F28" s="49">
        <v>395.58134361172387</v>
      </c>
      <c r="G28" s="49">
        <v>403.78980741935879</v>
      </c>
      <c r="H28" s="49">
        <v>348.32732605559386</v>
      </c>
      <c r="I28" s="49">
        <v>376.76530116813154</v>
      </c>
      <c r="J28" s="49">
        <v>419.85763154648788</v>
      </c>
      <c r="K28" s="49">
        <v>402.3959921333805</v>
      </c>
      <c r="L28" s="13">
        <v>382.70291928288708</v>
      </c>
      <c r="M28" s="13">
        <v>418.65684578073348</v>
      </c>
      <c r="N28" s="13">
        <v>430.03302949353235</v>
      </c>
      <c r="O28" s="13">
        <v>422.80158921381667</v>
      </c>
      <c r="P28" s="13">
        <v>466.00015876126361</v>
      </c>
      <c r="Q28" s="13">
        <v>458.77404627553989</v>
      </c>
      <c r="R28" s="56">
        <f t="shared" ref="R28:R31" si="16">+(Q28+S28)/2</f>
        <v>457.3112781638755</v>
      </c>
      <c r="S28" s="14">
        <v>455.84851005221105</v>
      </c>
      <c r="T28" s="13">
        <v>481.09501559259991</v>
      </c>
      <c r="U28" s="13">
        <v>472.10994166762612</v>
      </c>
      <c r="V28" s="13">
        <v>459.47306923349265</v>
      </c>
      <c r="W28" s="13">
        <v>503.49649403850293</v>
      </c>
      <c r="X28" s="13">
        <v>503.5268755771624</v>
      </c>
      <c r="Y28" s="13">
        <v>461.36570150497045</v>
      </c>
      <c r="Z28" s="13">
        <v>448.0660026756795</v>
      </c>
      <c r="AA28" s="13">
        <v>473.94732933905152</v>
      </c>
      <c r="AB28" s="13">
        <v>488.33204073176603</v>
      </c>
      <c r="AC28" s="13">
        <v>493.75480380625447</v>
      </c>
      <c r="AD28" s="13">
        <v>515.99350361385143</v>
      </c>
      <c r="AE28" s="13">
        <v>442.65107838419965</v>
      </c>
      <c r="AF28" s="13">
        <v>469.36339650748863</v>
      </c>
      <c r="AG28" s="13">
        <v>526.46515172273905</v>
      </c>
      <c r="AH28" s="13">
        <v>509.7280072756796</v>
      </c>
      <c r="AI28" s="13">
        <v>471.73963027454607</v>
      </c>
      <c r="AJ28" s="13">
        <v>382.73968353330531</v>
      </c>
      <c r="AK28" s="13">
        <v>447.00005779557841</v>
      </c>
      <c r="AL28" s="13">
        <v>451.5285610978255</v>
      </c>
      <c r="AM28" s="13">
        <v>486.77695085049868</v>
      </c>
      <c r="AN28" s="13">
        <v>405.26256523870086</v>
      </c>
      <c r="AO28" s="13">
        <v>454.65495546790305</v>
      </c>
      <c r="AP28" s="13">
        <v>475.30031556069144</v>
      </c>
      <c r="AQ28" s="13">
        <v>404.37546574241549</v>
      </c>
      <c r="AR28" s="13">
        <v>383.67069919999915</v>
      </c>
      <c r="AS28" s="13">
        <v>377.06182623823815</v>
      </c>
      <c r="AT28" s="13">
        <v>383.94649371810112</v>
      </c>
      <c r="AU28" s="13">
        <v>396.72568726034973</v>
      </c>
      <c r="AV28" s="13">
        <v>376.73171808241273</v>
      </c>
      <c r="AW28" s="13">
        <v>394.42034738969392</v>
      </c>
      <c r="AX28" s="56">
        <f t="shared" ref="AX28:AX31" si="17">+(AW28+BA28)/2</f>
        <v>402.75446176461458</v>
      </c>
      <c r="AY28" s="56">
        <f t="shared" ref="AY28:AY31" si="18">+(AX28+BA28)/2</f>
        <v>406.92151895207496</v>
      </c>
      <c r="AZ28" s="56">
        <f t="shared" ref="AZ28:AZ31" si="19">+(AY28+BA28)/2</f>
        <v>409.00504754580516</v>
      </c>
      <c r="BA28" s="34">
        <v>411.08857613953529</v>
      </c>
      <c r="BB28" s="13">
        <v>405.65432321739485</v>
      </c>
      <c r="BC28" s="13">
        <v>440.25281035735054</v>
      </c>
      <c r="BD28" s="13">
        <v>467.98339157838438</v>
      </c>
      <c r="BE28" s="13">
        <v>443.05704624068511</v>
      </c>
      <c r="BF28" s="13">
        <v>457.26155059764756</v>
      </c>
      <c r="BG28" s="13">
        <v>438.47617508723482</v>
      </c>
      <c r="BH28" s="13">
        <v>442.25935826540461</v>
      </c>
      <c r="BI28" s="13">
        <v>481.00019223360391</v>
      </c>
      <c r="BJ28" s="13">
        <v>477.31419453362884</v>
      </c>
      <c r="BK28" s="49">
        <v>470.89836445445798</v>
      </c>
      <c r="BL28" s="49">
        <v>430.61700000000002</v>
      </c>
      <c r="BM28" s="49">
        <v>416.32299999999998</v>
      </c>
      <c r="BN28" s="49">
        <v>480.95637355865495</v>
      </c>
      <c r="BO28" s="49">
        <v>509.56099999999998</v>
      </c>
      <c r="BP28" s="49">
        <v>426.60599999999999</v>
      </c>
      <c r="BQ28" s="49">
        <v>243.60499999999999</v>
      </c>
      <c r="BR28" s="49">
        <v>316.79300000000001</v>
      </c>
      <c r="BS28" s="49">
        <v>296.084</v>
      </c>
      <c r="BT28" s="49">
        <v>368.37700000000001</v>
      </c>
      <c r="BU28" s="49">
        <v>438.29</v>
      </c>
      <c r="BV28" s="49">
        <v>493.54700000000003</v>
      </c>
      <c r="BW28" s="49">
        <v>447.86700000000002</v>
      </c>
      <c r="BX28" s="49">
        <v>378.464</v>
      </c>
      <c r="BY28" s="49">
        <v>466.74099999999999</v>
      </c>
      <c r="BZ28" s="49">
        <v>453.471</v>
      </c>
      <c r="CA28" s="49">
        <v>468.916</v>
      </c>
      <c r="CB28" s="49">
        <v>451.21</v>
      </c>
      <c r="CC28" s="49">
        <v>415.51100000000002</v>
      </c>
      <c r="CD28" s="49">
        <v>431.74599999999998</v>
      </c>
      <c r="CE28" s="49">
        <v>461.67</v>
      </c>
      <c r="CF28" s="49">
        <v>416.72199999999998</v>
      </c>
      <c r="CG28" s="49">
        <v>393.24599999999998</v>
      </c>
      <c r="CH28" s="49">
        <v>440.68200000000002</v>
      </c>
      <c r="CI28" s="49">
        <v>482.267</v>
      </c>
      <c r="CJ28" s="49">
        <v>450.93900000000002</v>
      </c>
    </row>
    <row r="29" spans="1:88" ht="20.149999999999999" customHeight="1" x14ac:dyDescent="0.25">
      <c r="A29" s="12" t="s">
        <v>24</v>
      </c>
      <c r="B29" s="49">
        <v>1890.1217808590716</v>
      </c>
      <c r="C29" s="49">
        <v>1906.3896109903574</v>
      </c>
      <c r="D29" s="49">
        <v>1871.0475508781267</v>
      </c>
      <c r="E29" s="49">
        <v>1903.045263691288</v>
      </c>
      <c r="F29" s="49">
        <v>1956.8539204271133</v>
      </c>
      <c r="G29" s="49">
        <v>1948.4514489531189</v>
      </c>
      <c r="H29" s="49">
        <v>1919.1178326829563</v>
      </c>
      <c r="I29" s="49">
        <v>1974.4713817712709</v>
      </c>
      <c r="J29" s="49">
        <v>2016.90993447716</v>
      </c>
      <c r="K29" s="49">
        <v>2002.1951467493452</v>
      </c>
      <c r="L29" s="13">
        <v>1925.8205218928447</v>
      </c>
      <c r="M29" s="13">
        <v>1967.903146213853</v>
      </c>
      <c r="N29" s="13">
        <v>1913.3017433339608</v>
      </c>
      <c r="O29" s="13">
        <v>1998.1300933167718</v>
      </c>
      <c r="P29" s="13">
        <v>1887.7575376277453</v>
      </c>
      <c r="Q29" s="13">
        <v>1901.2221931843603</v>
      </c>
      <c r="R29" s="56">
        <f t="shared" si="16"/>
        <v>1881.6580324217607</v>
      </c>
      <c r="S29" s="14">
        <v>1862.0938716591613</v>
      </c>
      <c r="T29" s="13">
        <v>1836.3466180056103</v>
      </c>
      <c r="U29" s="13">
        <v>1932.3827040947601</v>
      </c>
      <c r="V29" s="13">
        <v>2006.5838399043384</v>
      </c>
      <c r="W29" s="13">
        <v>1919.5910755008306</v>
      </c>
      <c r="X29" s="13">
        <v>1924.6450804301162</v>
      </c>
      <c r="Y29" s="13">
        <v>2031.6642284868958</v>
      </c>
      <c r="Z29" s="13">
        <v>1975.0323300672692</v>
      </c>
      <c r="AA29" s="13">
        <v>2079.1968539873606</v>
      </c>
      <c r="AB29" s="13">
        <v>1992.5339220957321</v>
      </c>
      <c r="AC29" s="13">
        <v>2011.5699618369208</v>
      </c>
      <c r="AD29" s="13">
        <v>1912.5483764762994</v>
      </c>
      <c r="AE29" s="13">
        <v>1950.0851336350554</v>
      </c>
      <c r="AF29" s="13">
        <v>1964.3149574147617</v>
      </c>
      <c r="AG29" s="13">
        <v>1969.8957439965279</v>
      </c>
      <c r="AH29" s="13">
        <v>2007.4015667376752</v>
      </c>
      <c r="AI29" s="13">
        <v>1965.1557500697695</v>
      </c>
      <c r="AJ29" s="13">
        <v>2053.3723622616603</v>
      </c>
      <c r="AK29" s="13">
        <v>2124.0944429993428</v>
      </c>
      <c r="AL29" s="13">
        <v>2005.9554485289677</v>
      </c>
      <c r="AM29" s="13">
        <v>2062.7459181605764</v>
      </c>
      <c r="AN29" s="13">
        <v>2084.2729825471656</v>
      </c>
      <c r="AO29" s="13">
        <v>2232.9816320669333</v>
      </c>
      <c r="AP29" s="13">
        <v>2124.696909024236</v>
      </c>
      <c r="AQ29" s="13">
        <v>2176.0991585204306</v>
      </c>
      <c r="AR29" s="13">
        <v>2136.4228431292245</v>
      </c>
      <c r="AS29" s="13">
        <v>2194.6058209723042</v>
      </c>
      <c r="AT29" s="13">
        <v>2168.1140399128908</v>
      </c>
      <c r="AU29" s="13">
        <v>2195.7795874680342</v>
      </c>
      <c r="AV29" s="13">
        <v>2128.3640130623767</v>
      </c>
      <c r="AW29" s="13">
        <v>2155.4511164879536</v>
      </c>
      <c r="AX29" s="56">
        <f t="shared" si="17"/>
        <v>2242.9665163301734</v>
      </c>
      <c r="AY29" s="56">
        <f t="shared" si="18"/>
        <v>2286.724216251283</v>
      </c>
      <c r="AZ29" s="56">
        <f t="shared" si="19"/>
        <v>2308.6030662118383</v>
      </c>
      <c r="BA29" s="34">
        <v>2330.4819161723931</v>
      </c>
      <c r="BB29" s="13">
        <v>2389.0882765525494</v>
      </c>
      <c r="BC29" s="13">
        <v>2372.5696376855135</v>
      </c>
      <c r="BD29" s="13">
        <v>2420.9495495770861</v>
      </c>
      <c r="BE29" s="13">
        <v>2366.4590249061639</v>
      </c>
      <c r="BF29" s="13">
        <v>2512.73649778462</v>
      </c>
      <c r="BG29" s="13">
        <v>2564.4501463724823</v>
      </c>
      <c r="BH29" s="13">
        <v>2454.7335325578651</v>
      </c>
      <c r="BI29" s="13">
        <v>2524.855949422958</v>
      </c>
      <c r="BJ29" s="13">
        <v>2575.9772805213825</v>
      </c>
      <c r="BK29" s="49">
        <v>2536.1359127134001</v>
      </c>
      <c r="BL29" s="49">
        <v>2544.172</v>
      </c>
      <c r="BM29" s="49">
        <v>2628.8580000000002</v>
      </c>
      <c r="BN29" s="49">
        <v>2790.9045406910964</v>
      </c>
      <c r="BO29" s="49">
        <v>2775.34</v>
      </c>
      <c r="BP29" s="49">
        <v>2683.5810000000001</v>
      </c>
      <c r="BQ29" s="49">
        <v>1894.5989999999999</v>
      </c>
      <c r="BR29" s="49">
        <v>2660.4389999999999</v>
      </c>
      <c r="BS29" s="49">
        <v>3039.0059999999999</v>
      </c>
      <c r="BT29" s="49">
        <v>2926.74</v>
      </c>
      <c r="BU29" s="49">
        <v>2784.027</v>
      </c>
      <c r="BV29" s="49">
        <v>2890.779</v>
      </c>
      <c r="BW29" s="49">
        <v>2909.5940000000001</v>
      </c>
      <c r="BX29" s="49">
        <v>2903.6060000000002</v>
      </c>
      <c r="BY29" s="49">
        <v>2898.98</v>
      </c>
      <c r="BZ29" s="49">
        <v>3039.471</v>
      </c>
      <c r="CA29" s="49">
        <v>2924.1610000000001</v>
      </c>
      <c r="CB29" s="49">
        <v>2899.596</v>
      </c>
      <c r="CC29" s="49">
        <v>2924.7550000000001</v>
      </c>
      <c r="CD29" s="49">
        <v>2888.0819999999999</v>
      </c>
      <c r="CE29" s="49">
        <v>3049.806</v>
      </c>
      <c r="CF29" s="49">
        <v>2869.4879999999998</v>
      </c>
      <c r="CG29" s="49">
        <v>3061.2130000000002</v>
      </c>
      <c r="CH29" s="49">
        <v>3114.0970000000002</v>
      </c>
      <c r="CI29" s="49">
        <v>3235.1550000000002</v>
      </c>
      <c r="CJ29" s="49">
        <v>3119.4520000000002</v>
      </c>
    </row>
    <row r="30" spans="1:88" ht="20.149999999999999" customHeight="1" x14ac:dyDescent="0.25">
      <c r="A30" s="12" t="s">
        <v>25</v>
      </c>
      <c r="B30" s="49">
        <v>6057.5692420708019</v>
      </c>
      <c r="C30" s="49">
        <v>6229.3232925204575</v>
      </c>
      <c r="D30" s="49">
        <v>6296.5285377070659</v>
      </c>
      <c r="E30" s="49">
        <v>6453.2800556652955</v>
      </c>
      <c r="F30" s="49">
        <v>6547.606642020367</v>
      </c>
      <c r="G30" s="49">
        <v>6680.2222972311711</v>
      </c>
      <c r="H30" s="49">
        <v>6697.4998010415029</v>
      </c>
      <c r="I30" s="49">
        <v>6756.474283157022</v>
      </c>
      <c r="J30" s="49">
        <v>6985.461804512991</v>
      </c>
      <c r="K30" s="49">
        <v>7142.2311173380385</v>
      </c>
      <c r="L30" s="13">
        <v>7153.1936034457385</v>
      </c>
      <c r="M30" s="13">
        <v>7346.5846183665781</v>
      </c>
      <c r="N30" s="13">
        <v>7460.573610463679</v>
      </c>
      <c r="O30" s="13">
        <v>7546.9829807206124</v>
      </c>
      <c r="P30" s="13">
        <v>7579.8128435927656</v>
      </c>
      <c r="Q30" s="13">
        <v>7763.0785513225364</v>
      </c>
      <c r="R30" s="56">
        <f t="shared" si="16"/>
        <v>7800.0265475814849</v>
      </c>
      <c r="S30" s="14">
        <v>7836.9745438404334</v>
      </c>
      <c r="T30" s="13">
        <v>7877.7920207099605</v>
      </c>
      <c r="U30" s="13">
        <v>7860.3373457430998</v>
      </c>
      <c r="V30" s="13">
        <v>7819.880835668806</v>
      </c>
      <c r="W30" s="13">
        <v>8101.998840611107</v>
      </c>
      <c r="X30" s="13">
        <v>8069.7821993668449</v>
      </c>
      <c r="Y30" s="13">
        <v>7962.4119955172346</v>
      </c>
      <c r="Z30" s="13">
        <v>7959.6076038200335</v>
      </c>
      <c r="AA30" s="13">
        <v>8009.8949139362658</v>
      </c>
      <c r="AB30" s="13">
        <v>8051.4728115781654</v>
      </c>
      <c r="AC30" s="13">
        <v>8108.426944320131</v>
      </c>
      <c r="AD30" s="13">
        <v>8207.8407030612434</v>
      </c>
      <c r="AE30" s="13">
        <v>8274.8246311090024</v>
      </c>
      <c r="AF30" s="13">
        <v>8229.062096851032</v>
      </c>
      <c r="AG30" s="13">
        <v>8408.5333206151608</v>
      </c>
      <c r="AH30" s="13">
        <v>8489.1840658694364</v>
      </c>
      <c r="AI30" s="13">
        <v>8516.1709121309559</v>
      </c>
      <c r="AJ30" s="13">
        <v>8394.3503150271026</v>
      </c>
      <c r="AK30" s="13">
        <v>8424.0116612264756</v>
      </c>
      <c r="AL30" s="13">
        <v>8682.3599026689662</v>
      </c>
      <c r="AM30" s="13">
        <v>8606.7101951474961</v>
      </c>
      <c r="AN30" s="13">
        <v>8412.4267382122871</v>
      </c>
      <c r="AO30" s="13">
        <v>8494.116798962219</v>
      </c>
      <c r="AP30" s="13">
        <v>8602.4088329533442</v>
      </c>
      <c r="AQ30" s="13">
        <v>8584.750993395508</v>
      </c>
      <c r="AR30" s="13">
        <v>8423.9163468804472</v>
      </c>
      <c r="AS30" s="13">
        <v>8268.3052056819542</v>
      </c>
      <c r="AT30" s="13">
        <v>8307.2665220898725</v>
      </c>
      <c r="AU30" s="13">
        <v>8474.8922147262547</v>
      </c>
      <c r="AV30" s="13">
        <v>8447.4724904264804</v>
      </c>
      <c r="AW30" s="13">
        <v>8456.778609712419</v>
      </c>
      <c r="AX30" s="56">
        <f t="shared" si="17"/>
        <v>8525.7966871653989</v>
      </c>
      <c r="AY30" s="56">
        <f t="shared" si="18"/>
        <v>8560.3057258918889</v>
      </c>
      <c r="AZ30" s="56">
        <f t="shared" si="19"/>
        <v>8577.560245255132</v>
      </c>
      <c r="BA30" s="34">
        <v>8594.814764618377</v>
      </c>
      <c r="BB30" s="13">
        <v>8743.3737437693599</v>
      </c>
      <c r="BC30" s="13">
        <v>8723.6511818313265</v>
      </c>
      <c r="BD30" s="13">
        <v>8479.0986565153689</v>
      </c>
      <c r="BE30" s="13">
        <v>8623.8522539143287</v>
      </c>
      <c r="BF30" s="13">
        <v>8773.4428263914378</v>
      </c>
      <c r="BG30" s="13">
        <v>8958.5991962847493</v>
      </c>
      <c r="BH30" s="13">
        <v>8898.162740516238</v>
      </c>
      <c r="BI30" s="13">
        <v>8671.7260011179096</v>
      </c>
      <c r="BJ30" s="13">
        <v>8823.0953371455198</v>
      </c>
      <c r="BK30" s="49">
        <v>8848.2099721498234</v>
      </c>
      <c r="BL30" s="49">
        <v>8803.3310000000001</v>
      </c>
      <c r="BM30" s="49">
        <v>8845.2090000000007</v>
      </c>
      <c r="BN30" s="49">
        <v>8768.0095904574991</v>
      </c>
      <c r="BO30" s="49">
        <v>8789.4120000000003</v>
      </c>
      <c r="BP30" s="49">
        <v>8755.0660000000007</v>
      </c>
      <c r="BQ30" s="49">
        <v>7248.9059999999999</v>
      </c>
      <c r="BR30" s="49">
        <v>7528.7719999999999</v>
      </c>
      <c r="BS30" s="49">
        <v>8021.7979999999998</v>
      </c>
      <c r="BT30" s="49">
        <v>8480.2980000000007</v>
      </c>
      <c r="BU30" s="49">
        <v>8547.7049999999999</v>
      </c>
      <c r="BV30" s="49">
        <v>8755.35</v>
      </c>
      <c r="BW30" s="49">
        <v>9093.7049999999999</v>
      </c>
      <c r="BX30" s="49">
        <v>9066.4110000000001</v>
      </c>
      <c r="BY30" s="49">
        <v>9358.5830000000005</v>
      </c>
      <c r="BZ30" s="49">
        <v>9151.6200000000008</v>
      </c>
      <c r="CA30" s="49">
        <v>9431.0149999999994</v>
      </c>
      <c r="CB30" s="49">
        <v>9609.1620000000003</v>
      </c>
      <c r="CC30" s="49">
        <v>9509.3989999999994</v>
      </c>
      <c r="CD30" s="49">
        <v>9820.777</v>
      </c>
      <c r="CE30" s="49">
        <v>9688.4060000000009</v>
      </c>
      <c r="CF30" s="49">
        <v>9559.8619999999992</v>
      </c>
      <c r="CG30" s="49">
        <v>9595.5349999999999</v>
      </c>
      <c r="CH30" s="49">
        <v>9590.6560000000009</v>
      </c>
      <c r="CI30" s="49">
        <v>9691.7420000000002</v>
      </c>
      <c r="CJ30" s="49">
        <v>9517.9060000000009</v>
      </c>
    </row>
    <row r="31" spans="1:88" ht="20.149999999999999" customHeight="1" x14ac:dyDescent="0.25">
      <c r="A31" s="12" t="s">
        <v>26</v>
      </c>
      <c r="B31" s="49">
        <v>152.27226917431489</v>
      </c>
      <c r="C31" s="49">
        <v>143.47122364453347</v>
      </c>
      <c r="D31" s="49">
        <v>164.14122785061451</v>
      </c>
      <c r="E31" s="49">
        <v>126.02382436346646</v>
      </c>
      <c r="F31" s="49">
        <v>122.59235023535746</v>
      </c>
      <c r="G31" s="49">
        <v>132.45558048551911</v>
      </c>
      <c r="H31" s="49">
        <v>120.06712598692273</v>
      </c>
      <c r="I31" s="49">
        <v>87.01262537496595</v>
      </c>
      <c r="J31" s="49">
        <v>111.19706158865965</v>
      </c>
      <c r="K31" s="49">
        <v>128.29729218704509</v>
      </c>
      <c r="L31" s="13">
        <v>98.23856855586844</v>
      </c>
      <c r="M31" s="13">
        <v>112.62782338988494</v>
      </c>
      <c r="N31" s="13">
        <v>103.95513967614131</v>
      </c>
      <c r="O31" s="13">
        <v>124.34347283747282</v>
      </c>
      <c r="P31" s="13">
        <v>122.47164409499224</v>
      </c>
      <c r="Q31" s="13">
        <v>95.172617134459585</v>
      </c>
      <c r="R31" s="56">
        <f t="shared" si="16"/>
        <v>100.47523287236486</v>
      </c>
      <c r="S31" s="14">
        <v>105.77784861027013</v>
      </c>
      <c r="T31" s="13">
        <v>83.492455585614465</v>
      </c>
      <c r="U31" s="13">
        <v>99.037590590447095</v>
      </c>
      <c r="V31" s="13">
        <v>63.009739017653402</v>
      </c>
      <c r="W31" s="13">
        <v>84.741571007095104</v>
      </c>
      <c r="X31" s="13">
        <v>90.257304148011841</v>
      </c>
      <c r="Y31" s="13">
        <v>75.021281260289157</v>
      </c>
      <c r="Z31" s="13">
        <v>89.434811503583575</v>
      </c>
      <c r="AA31" s="13">
        <v>86.690350457777853</v>
      </c>
      <c r="AB31" s="13">
        <v>92.997689940457889</v>
      </c>
      <c r="AC31" s="13">
        <v>82.528770639300589</v>
      </c>
      <c r="AD31" s="13">
        <v>97.620226955423675</v>
      </c>
      <c r="AE31" s="13">
        <v>79.29941721726594</v>
      </c>
      <c r="AF31" s="13">
        <v>89.581319409446309</v>
      </c>
      <c r="AG31" s="13">
        <v>95.648144310381412</v>
      </c>
      <c r="AH31" s="13">
        <v>80.308506278508489</v>
      </c>
      <c r="AI31" s="13">
        <v>70.041016115242414</v>
      </c>
      <c r="AJ31" s="13">
        <v>56.843748433207693</v>
      </c>
      <c r="AK31" s="13">
        <v>69.736952696993825</v>
      </c>
      <c r="AL31" s="13">
        <v>75.260411829795288</v>
      </c>
      <c r="AM31" s="13">
        <v>53.139419494696924</v>
      </c>
      <c r="AN31" s="13">
        <v>82.583691578256463</v>
      </c>
      <c r="AO31" s="13">
        <v>69.753457179569267</v>
      </c>
      <c r="AP31" s="13">
        <v>51.256369516726821</v>
      </c>
      <c r="AQ31" s="13">
        <v>56.381277227266168</v>
      </c>
      <c r="AR31" s="13">
        <v>65.52945610698066</v>
      </c>
      <c r="AS31" s="13">
        <v>60.265948272149238</v>
      </c>
      <c r="AT31" s="13">
        <v>74.115730410162186</v>
      </c>
      <c r="AU31" s="13">
        <v>72.509421871393073</v>
      </c>
      <c r="AV31" s="13">
        <v>57.818858260264342</v>
      </c>
      <c r="AW31" s="13">
        <v>53.849130222885549</v>
      </c>
      <c r="AX31" s="56">
        <f t="shared" si="17"/>
        <v>58.058730109452782</v>
      </c>
      <c r="AY31" s="56">
        <f t="shared" si="18"/>
        <v>60.163530052736398</v>
      </c>
      <c r="AZ31" s="56">
        <f t="shared" si="19"/>
        <v>61.21593002437821</v>
      </c>
      <c r="BA31" s="34">
        <v>62.268329996020015</v>
      </c>
      <c r="BB31" s="13">
        <v>76.101012326612732</v>
      </c>
      <c r="BC31" s="13">
        <v>60.276148533685266</v>
      </c>
      <c r="BD31" s="13">
        <v>92.789898237008813</v>
      </c>
      <c r="BE31" s="13">
        <v>77.679050995524307</v>
      </c>
      <c r="BF31" s="13">
        <v>67.359757083248979</v>
      </c>
      <c r="BG31" s="13">
        <v>49.801610589564781</v>
      </c>
      <c r="BH31" s="13">
        <v>71.225324287841261</v>
      </c>
      <c r="BI31" s="13">
        <v>80.016272414263128</v>
      </c>
      <c r="BJ31" s="13">
        <v>61.492250399109913</v>
      </c>
      <c r="BK31" s="49">
        <v>53.727137759781215</v>
      </c>
      <c r="BL31" s="49">
        <v>69.539000000000001</v>
      </c>
      <c r="BM31" s="49">
        <v>76.372</v>
      </c>
      <c r="BN31" s="49">
        <v>69.16095815000665</v>
      </c>
      <c r="BO31" s="49">
        <v>67.971000000000004</v>
      </c>
      <c r="BP31" s="49">
        <v>79.808999999999997</v>
      </c>
      <c r="BQ31" s="49">
        <v>63.021999999999998</v>
      </c>
      <c r="BR31" s="49">
        <v>65.135000000000005</v>
      </c>
      <c r="BS31" s="49">
        <v>64.869</v>
      </c>
      <c r="BT31" s="49">
        <v>87.641999999999996</v>
      </c>
      <c r="BU31" s="49">
        <v>55.131999999999998</v>
      </c>
      <c r="BV31" s="49">
        <v>82.97</v>
      </c>
      <c r="BW31" s="49">
        <v>55.286999999999999</v>
      </c>
      <c r="BX31" s="49">
        <v>56.784999999999997</v>
      </c>
      <c r="BY31" s="49">
        <v>71.391000000000005</v>
      </c>
      <c r="BZ31" s="49">
        <v>66.950999999999993</v>
      </c>
      <c r="CA31" s="49">
        <v>58.017000000000003</v>
      </c>
      <c r="CB31" s="49">
        <v>45.423999999999999</v>
      </c>
      <c r="CC31" s="49">
        <v>42.804000000000002</v>
      </c>
      <c r="CD31" s="49">
        <v>52.057000000000002</v>
      </c>
      <c r="CE31" s="49">
        <v>42.817</v>
      </c>
      <c r="CF31" s="49">
        <v>36.119</v>
      </c>
      <c r="CG31" s="49">
        <v>34.92</v>
      </c>
      <c r="CH31" s="49">
        <v>46.662999999999997</v>
      </c>
      <c r="CI31" s="49">
        <v>45.819000000000003</v>
      </c>
      <c r="CJ31" s="49">
        <v>54.954999999999998</v>
      </c>
    </row>
    <row r="32" spans="1:88" ht="20.149999999999999" customHeight="1" thickBot="1" x14ac:dyDescent="0.3">
      <c r="A32" s="15" t="s">
        <v>27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19"/>
      <c r="M32" s="19"/>
      <c r="N32" s="19"/>
      <c r="O32" s="19"/>
      <c r="P32" s="19"/>
      <c r="Q32" s="19"/>
      <c r="R32" s="41"/>
      <c r="S32" s="20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41"/>
      <c r="AY32" s="41"/>
      <c r="AZ32" s="41"/>
      <c r="BA32" s="36"/>
      <c r="BB32" s="19"/>
      <c r="BC32" s="19"/>
      <c r="BD32" s="19"/>
      <c r="BE32" s="19"/>
      <c r="BF32" s="19"/>
      <c r="BG32" s="19"/>
      <c r="BH32" s="19"/>
      <c r="BI32" s="19"/>
      <c r="BJ32" s="19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</row>
    <row r="33" spans="1:88" ht="20.149999999999999" customHeight="1" x14ac:dyDescent="0.25">
      <c r="A33" s="12" t="s">
        <v>28</v>
      </c>
      <c r="B33" s="49">
        <v>128.01324708922445</v>
      </c>
      <c r="C33" s="49">
        <v>156.09240459431939</v>
      </c>
      <c r="D33" s="49">
        <v>148.032785280177</v>
      </c>
      <c r="E33" s="49">
        <v>145.98056585306202</v>
      </c>
      <c r="F33" s="49">
        <v>140.14909270300876</v>
      </c>
      <c r="G33" s="49">
        <v>114.42629761853244</v>
      </c>
      <c r="H33" s="49">
        <v>122.92372566629631</v>
      </c>
      <c r="I33" s="49">
        <v>118.72740251284448</v>
      </c>
      <c r="J33" s="49">
        <v>139.15957106155528</v>
      </c>
      <c r="K33" s="49">
        <v>145.93658258264111</v>
      </c>
      <c r="L33" s="13">
        <v>131.70237339437858</v>
      </c>
      <c r="M33" s="13">
        <v>127.80217242349335</v>
      </c>
      <c r="N33" s="13">
        <v>124.26444029193962</v>
      </c>
      <c r="O33" s="13">
        <v>135.89798225836682</v>
      </c>
      <c r="P33" s="13">
        <v>143.2183339265649</v>
      </c>
      <c r="Q33" s="13">
        <v>119.43729871415252</v>
      </c>
      <c r="R33" s="56">
        <f t="shared" ref="R33:R45" si="20">+(Q33+S33)/2</f>
        <v>125.31816050552645</v>
      </c>
      <c r="S33" s="14">
        <v>131.19902229690038</v>
      </c>
      <c r="T33" s="13">
        <v>147.0266968477315</v>
      </c>
      <c r="U33" s="13">
        <v>156.2072648742097</v>
      </c>
      <c r="V33" s="13">
        <v>170.26167059820543</v>
      </c>
      <c r="W33" s="13">
        <v>182.49884449691896</v>
      </c>
      <c r="X33" s="13">
        <v>121.71540681666285</v>
      </c>
      <c r="Y33" s="13">
        <v>188.26831244986641</v>
      </c>
      <c r="Z33" s="13">
        <v>156.49564709774796</v>
      </c>
      <c r="AA33" s="13">
        <v>199.49530922036828</v>
      </c>
      <c r="AB33" s="13">
        <v>201.3206086777293</v>
      </c>
      <c r="AC33" s="13">
        <v>183.17560602219618</v>
      </c>
      <c r="AD33" s="13">
        <v>165.37386504623422</v>
      </c>
      <c r="AE33" s="13">
        <v>167.62111967455621</v>
      </c>
      <c r="AF33" s="13">
        <v>186.84784735936321</v>
      </c>
      <c r="AG33" s="13">
        <v>193.06893653124541</v>
      </c>
      <c r="AH33" s="13">
        <v>169.79229419333535</v>
      </c>
      <c r="AI33" s="13">
        <v>172.50472286915399</v>
      </c>
      <c r="AJ33" s="13">
        <v>122.92454174787709</v>
      </c>
      <c r="AK33" s="13">
        <v>123.75550904055378</v>
      </c>
      <c r="AL33" s="13">
        <v>107.66078928784849</v>
      </c>
      <c r="AM33" s="13">
        <v>120.4982331285608</v>
      </c>
      <c r="AN33" s="13">
        <v>117.62047729369752</v>
      </c>
      <c r="AO33" s="13">
        <v>119.15600705519117</v>
      </c>
      <c r="AP33" s="13">
        <v>109.65372569729257</v>
      </c>
      <c r="AQ33" s="13">
        <v>122.96661532926166</v>
      </c>
      <c r="AR33" s="13">
        <v>100.24961665528828</v>
      </c>
      <c r="AS33" s="13">
        <v>115.36293381385747</v>
      </c>
      <c r="AT33" s="13">
        <v>98.347761168368564</v>
      </c>
      <c r="AU33" s="13">
        <v>118.10122314005919</v>
      </c>
      <c r="AV33" s="13">
        <v>98.961301971749378</v>
      </c>
      <c r="AW33" s="13">
        <v>101.6164527668234</v>
      </c>
      <c r="AX33" s="56">
        <f t="shared" ref="AX33:AX45" si="21">+(AW33+BA33)/2</f>
        <v>104.35622638341169</v>
      </c>
      <c r="AY33" s="56">
        <f t="shared" ref="AY33:AY45" si="22">+(AX33+BA33)/2</f>
        <v>105.72611319170585</v>
      </c>
      <c r="AZ33" s="56">
        <f t="shared" ref="AZ33:AZ45" si="23">+(AY33+BA33)/2</f>
        <v>106.41105659585293</v>
      </c>
      <c r="BA33" s="37">
        <v>107.096</v>
      </c>
      <c r="BB33" s="13">
        <v>113.78674888689353</v>
      </c>
      <c r="BC33" s="13">
        <v>108.19080453603705</v>
      </c>
      <c r="BD33" s="13">
        <v>91.978838698464045</v>
      </c>
      <c r="BE33" s="13">
        <v>104.15251475098955</v>
      </c>
      <c r="BF33" s="13">
        <v>114.15875360905342</v>
      </c>
      <c r="BG33" s="13">
        <v>93.702537094252861</v>
      </c>
      <c r="BH33" s="13">
        <v>117.5529441781843</v>
      </c>
      <c r="BI33" s="13">
        <v>109.4862583199041</v>
      </c>
      <c r="BJ33" s="13">
        <v>107.25958142433406</v>
      </c>
      <c r="BK33" s="49">
        <v>97.549528643790524</v>
      </c>
      <c r="BL33" s="49">
        <v>118.96</v>
      </c>
      <c r="BM33" s="49">
        <v>96.552999999999997</v>
      </c>
      <c r="BN33" s="49">
        <v>115.84304429487821</v>
      </c>
      <c r="BO33" s="49">
        <v>129.727</v>
      </c>
      <c r="BP33" s="49">
        <v>120.33499999999999</v>
      </c>
      <c r="BQ33" s="49">
        <v>92.265000000000001</v>
      </c>
      <c r="BR33" s="49">
        <v>103.626</v>
      </c>
      <c r="BS33" s="49">
        <v>96.091999999999999</v>
      </c>
      <c r="BT33" s="49">
        <v>108.378</v>
      </c>
      <c r="BU33" s="49">
        <v>122.63200000000001</v>
      </c>
      <c r="BV33" s="49">
        <v>135.71600000000001</v>
      </c>
      <c r="BW33" s="49">
        <v>115.827</v>
      </c>
      <c r="BX33" s="49">
        <v>133.59100000000001</v>
      </c>
      <c r="BY33" s="49">
        <v>117.407</v>
      </c>
      <c r="BZ33" s="49">
        <v>118.033</v>
      </c>
      <c r="CA33" s="49">
        <v>143.46199999999999</v>
      </c>
      <c r="CB33" s="49">
        <v>134.53200000000001</v>
      </c>
      <c r="CC33" s="49">
        <v>126.11499999999999</v>
      </c>
      <c r="CD33" s="49">
        <v>138.24</v>
      </c>
      <c r="CE33" s="49">
        <v>131.31800000000001</v>
      </c>
      <c r="CF33" s="49">
        <v>135.34700000000001</v>
      </c>
      <c r="CG33" s="49">
        <v>158.602</v>
      </c>
      <c r="CH33" s="49">
        <v>138.44200000000001</v>
      </c>
      <c r="CI33" s="49">
        <v>137.29599999999999</v>
      </c>
      <c r="CJ33" s="49">
        <v>130.143</v>
      </c>
    </row>
    <row r="34" spans="1:88" ht="20.149999999999999" customHeight="1" x14ac:dyDescent="0.25">
      <c r="A34" s="12" t="s">
        <v>29</v>
      </c>
      <c r="B34" s="49">
        <v>1202.0504013235286</v>
      </c>
      <c r="C34" s="49">
        <v>1196.8839048237853</v>
      </c>
      <c r="D34" s="49">
        <v>1208.9149290150926</v>
      </c>
      <c r="E34" s="49">
        <v>1318.3197625585235</v>
      </c>
      <c r="F34" s="49">
        <v>1304.8136337077822</v>
      </c>
      <c r="G34" s="49">
        <v>1355.0597553944506</v>
      </c>
      <c r="H34" s="49">
        <v>1370.0998150921805</v>
      </c>
      <c r="I34" s="49">
        <v>1342.9725493684143</v>
      </c>
      <c r="J34" s="49">
        <v>1371.5966507962999</v>
      </c>
      <c r="K34" s="49">
        <v>1401.8468903872335</v>
      </c>
      <c r="L34" s="13">
        <v>1378.4857969833192</v>
      </c>
      <c r="M34" s="13">
        <v>1457.227465267345</v>
      </c>
      <c r="N34" s="13">
        <v>1440.7030051206541</v>
      </c>
      <c r="O34" s="13">
        <v>1433.3194971666258</v>
      </c>
      <c r="P34" s="13">
        <v>1407.9802169104391</v>
      </c>
      <c r="Q34" s="13">
        <v>1487.6222084665726</v>
      </c>
      <c r="R34" s="56">
        <f t="shared" si="20"/>
        <v>1500.0468944729716</v>
      </c>
      <c r="S34" s="14">
        <v>1512.4715804793707</v>
      </c>
      <c r="T34" s="13">
        <v>1452.4350579336908</v>
      </c>
      <c r="U34" s="13">
        <v>1431.5767634396686</v>
      </c>
      <c r="V34" s="13">
        <v>1419.9472599699934</v>
      </c>
      <c r="W34" s="13">
        <v>1577.2094678824747</v>
      </c>
      <c r="X34" s="13">
        <v>1474.5136496118246</v>
      </c>
      <c r="Y34" s="13">
        <v>1335.9199261763167</v>
      </c>
      <c r="Z34" s="13">
        <v>1372.3115899345185</v>
      </c>
      <c r="AA34" s="13">
        <v>1448.6943431774646</v>
      </c>
      <c r="AB34" s="13">
        <v>1439.7824306425578</v>
      </c>
      <c r="AC34" s="13">
        <v>1414.6421922925299</v>
      </c>
      <c r="AD34" s="13">
        <v>1468.1599251928531</v>
      </c>
      <c r="AE34" s="13">
        <v>1540.4762456841015</v>
      </c>
      <c r="AF34" s="13">
        <v>1438.234660503316</v>
      </c>
      <c r="AG34" s="13">
        <v>1462.9276687999006</v>
      </c>
      <c r="AH34" s="13">
        <v>1619.2250625259478</v>
      </c>
      <c r="AI34" s="13">
        <v>1553.2372411147539</v>
      </c>
      <c r="AJ34" s="13">
        <v>1464.2725530990481</v>
      </c>
      <c r="AK34" s="13">
        <v>1437.238463665557</v>
      </c>
      <c r="AL34" s="13">
        <v>1500.1114787324716</v>
      </c>
      <c r="AM34" s="13">
        <v>1454.3189498873198</v>
      </c>
      <c r="AN34" s="13">
        <v>1461.6273732946754</v>
      </c>
      <c r="AO34" s="13">
        <v>1518.6369218800642</v>
      </c>
      <c r="AP34" s="13">
        <v>1497.954833508097</v>
      </c>
      <c r="AQ34" s="13">
        <v>1466.7729577782138</v>
      </c>
      <c r="AR34" s="13">
        <v>1426.7265647042507</v>
      </c>
      <c r="AS34" s="13">
        <v>1443.11536448025</v>
      </c>
      <c r="AT34" s="13">
        <v>1467.8587446480212</v>
      </c>
      <c r="AU34" s="13">
        <v>1484.4831906480561</v>
      </c>
      <c r="AV34" s="13">
        <v>1457.1122517716844</v>
      </c>
      <c r="AW34" s="13">
        <v>1474.6340999178633</v>
      </c>
      <c r="AX34" s="56">
        <f t="shared" si="21"/>
        <v>1432.8525499589316</v>
      </c>
      <c r="AY34" s="56">
        <f t="shared" si="22"/>
        <v>1411.9617749794656</v>
      </c>
      <c r="AZ34" s="56">
        <f t="shared" si="23"/>
        <v>1401.5163874897328</v>
      </c>
      <c r="BA34" s="38">
        <v>1391.0709999999999</v>
      </c>
      <c r="BB34" s="13">
        <v>1477.3647142098396</v>
      </c>
      <c r="BC34" s="13">
        <v>1424.0630810361531</v>
      </c>
      <c r="BD34" s="13">
        <v>1340.0751603986773</v>
      </c>
      <c r="BE34" s="13">
        <v>1430.280890473417</v>
      </c>
      <c r="BF34" s="13">
        <v>1409.5141305403286</v>
      </c>
      <c r="BG34" s="13">
        <v>1389.6156888045582</v>
      </c>
      <c r="BH34" s="13">
        <v>1390.206993676064</v>
      </c>
      <c r="BI34" s="13">
        <v>1354.7920918521061</v>
      </c>
      <c r="BJ34" s="13">
        <v>1330.9853854073622</v>
      </c>
      <c r="BK34" s="49">
        <v>1306.3189271230879</v>
      </c>
      <c r="BL34" s="49">
        <v>1346.636</v>
      </c>
      <c r="BM34" s="49">
        <v>1416.8209999999999</v>
      </c>
      <c r="BN34" s="49">
        <v>1427.6212288032291</v>
      </c>
      <c r="BO34" s="49">
        <v>1328.002</v>
      </c>
      <c r="BP34" s="49">
        <v>1332.9960000000001</v>
      </c>
      <c r="BQ34" s="49">
        <v>1169.1679999999999</v>
      </c>
      <c r="BR34" s="49">
        <v>1257.415</v>
      </c>
      <c r="BS34" s="49">
        <v>1515.0530000000001</v>
      </c>
      <c r="BT34" s="49">
        <v>1433.5650000000001</v>
      </c>
      <c r="BU34" s="49">
        <v>1302.058</v>
      </c>
      <c r="BV34" s="49">
        <v>1276.877</v>
      </c>
      <c r="BW34" s="49">
        <v>1489.6110000000001</v>
      </c>
      <c r="BX34" s="49">
        <v>1499.8610000000001</v>
      </c>
      <c r="BY34" s="49">
        <v>1494.2280000000001</v>
      </c>
      <c r="BZ34" s="49">
        <v>1447.672</v>
      </c>
      <c r="CA34" s="49">
        <v>1554.325</v>
      </c>
      <c r="CB34" s="49">
        <v>1621.62</v>
      </c>
      <c r="CC34" s="49">
        <v>1573.9069999999999</v>
      </c>
      <c r="CD34" s="49">
        <v>1529.0170000000001</v>
      </c>
      <c r="CE34" s="49">
        <v>1507.9829999999999</v>
      </c>
      <c r="CF34" s="49">
        <v>1487.8140000000001</v>
      </c>
      <c r="CG34" s="49">
        <v>1424.875</v>
      </c>
      <c r="CH34" s="49">
        <v>1384.1210000000001</v>
      </c>
      <c r="CI34" s="49">
        <v>1318.366</v>
      </c>
      <c r="CJ34" s="49">
        <v>1456.03</v>
      </c>
    </row>
    <row r="35" spans="1:88" ht="20.149999999999999" customHeight="1" x14ac:dyDescent="0.25">
      <c r="A35" s="12" t="s">
        <v>30</v>
      </c>
      <c r="B35" s="49">
        <v>605.62799945178472</v>
      </c>
      <c r="C35" s="49">
        <v>663.13078541636321</v>
      </c>
      <c r="D35" s="49">
        <v>718.67583735292897</v>
      </c>
      <c r="E35" s="49">
        <v>681.05599901421158</v>
      </c>
      <c r="F35" s="49">
        <v>730.16065381319743</v>
      </c>
      <c r="G35" s="49">
        <v>728.9189976774943</v>
      </c>
      <c r="H35" s="49">
        <v>717.60032432195067</v>
      </c>
      <c r="I35" s="49">
        <v>756.68481766692639</v>
      </c>
      <c r="J35" s="49">
        <v>812.84206933043345</v>
      </c>
      <c r="K35" s="49">
        <v>856.03860309212018</v>
      </c>
      <c r="L35" s="13">
        <v>822.97783282417822</v>
      </c>
      <c r="M35" s="13">
        <v>820.10878420338008</v>
      </c>
      <c r="N35" s="13">
        <v>853.62282985087415</v>
      </c>
      <c r="O35" s="13">
        <v>946.30966902015757</v>
      </c>
      <c r="P35" s="13">
        <v>937.55023918299241</v>
      </c>
      <c r="Q35" s="13">
        <v>909.52904018608353</v>
      </c>
      <c r="R35" s="56">
        <f t="shared" si="20"/>
        <v>924.65959806379897</v>
      </c>
      <c r="S35" s="14">
        <v>939.79015594151451</v>
      </c>
      <c r="T35" s="13">
        <v>905.55764607962385</v>
      </c>
      <c r="U35" s="13">
        <v>885.08482701449498</v>
      </c>
      <c r="V35" s="13">
        <v>970.20744476772188</v>
      </c>
      <c r="W35" s="13">
        <v>960.06843778682378</v>
      </c>
      <c r="X35" s="13">
        <v>969.01723214823107</v>
      </c>
      <c r="Y35" s="13">
        <v>927.04752566018419</v>
      </c>
      <c r="Z35" s="13">
        <v>959.28396256578981</v>
      </c>
      <c r="AA35" s="13">
        <v>937.12294319542116</v>
      </c>
      <c r="AB35" s="13">
        <v>918.47761862151742</v>
      </c>
      <c r="AC35" s="13">
        <v>931.02255443237345</v>
      </c>
      <c r="AD35" s="13">
        <v>943.04190956188791</v>
      </c>
      <c r="AE35" s="13">
        <v>921.60798793704828</v>
      </c>
      <c r="AF35" s="13">
        <v>933.01786863531993</v>
      </c>
      <c r="AG35" s="13">
        <v>962.38582674549673</v>
      </c>
      <c r="AH35" s="13">
        <v>1056.771791637625</v>
      </c>
      <c r="AI35" s="13">
        <v>1010.5525152676886</v>
      </c>
      <c r="AJ35" s="13">
        <v>1004.7102985659552</v>
      </c>
      <c r="AK35" s="13">
        <v>990.95815974238042</v>
      </c>
      <c r="AL35" s="13">
        <v>1000.9991340898785</v>
      </c>
      <c r="AM35" s="13">
        <v>1015.1199457966791</v>
      </c>
      <c r="AN35" s="13">
        <v>964.53840354452097</v>
      </c>
      <c r="AO35" s="13">
        <v>1031.4948182413566</v>
      </c>
      <c r="AP35" s="13">
        <v>1034.1199350378215</v>
      </c>
      <c r="AQ35" s="13">
        <v>986.65912455609168</v>
      </c>
      <c r="AR35" s="13">
        <v>1010.7046409914935</v>
      </c>
      <c r="AS35" s="13">
        <v>967.15587544129744</v>
      </c>
      <c r="AT35" s="13">
        <v>1004.3283589503906</v>
      </c>
      <c r="AU35" s="13">
        <v>1043.6509434537816</v>
      </c>
      <c r="AV35" s="13">
        <v>943.04482409905108</v>
      </c>
      <c r="AW35" s="13">
        <v>1055.585134899082</v>
      </c>
      <c r="AX35" s="56">
        <f t="shared" si="21"/>
        <v>1064.0445674495409</v>
      </c>
      <c r="AY35" s="56">
        <f t="shared" si="22"/>
        <v>1068.2742837247704</v>
      </c>
      <c r="AZ35" s="56">
        <f t="shared" si="23"/>
        <v>1070.3891418623853</v>
      </c>
      <c r="BA35" s="38">
        <v>1072.5039999999999</v>
      </c>
      <c r="BB35" s="13">
        <v>1091.0029891597185</v>
      </c>
      <c r="BC35" s="13">
        <v>1048.2476431623734</v>
      </c>
      <c r="BD35" s="13">
        <v>1025.7304919095088</v>
      </c>
      <c r="BE35" s="13">
        <v>1051.6289943915253</v>
      </c>
      <c r="BF35" s="13">
        <v>1089.2910915898108</v>
      </c>
      <c r="BG35" s="13">
        <v>1094.8393655545867</v>
      </c>
      <c r="BH35" s="13">
        <v>1023.3659244593916</v>
      </c>
      <c r="BI35" s="13">
        <v>1082.2461079817201</v>
      </c>
      <c r="BJ35" s="13">
        <v>1143.3905166225625</v>
      </c>
      <c r="BK35" s="49">
        <v>1109.3336881002133</v>
      </c>
      <c r="BL35" s="49">
        <v>1023.908</v>
      </c>
      <c r="BM35" s="49">
        <v>1104.355</v>
      </c>
      <c r="BN35" s="49">
        <v>1135.7387144664974</v>
      </c>
      <c r="BO35" s="49">
        <v>1099.432</v>
      </c>
      <c r="BP35" s="49">
        <v>1006.16</v>
      </c>
      <c r="BQ35" s="49">
        <v>660.61400000000003</v>
      </c>
      <c r="BR35" s="49">
        <v>917.73299999999995</v>
      </c>
      <c r="BS35" s="49">
        <v>1147.6769999999999</v>
      </c>
      <c r="BT35" s="49">
        <v>1042.046</v>
      </c>
      <c r="BU35" s="49">
        <v>1021.3</v>
      </c>
      <c r="BV35" s="49">
        <v>1032.6320000000001</v>
      </c>
      <c r="BW35" s="49">
        <v>1057.69</v>
      </c>
      <c r="BX35" s="49">
        <v>1028.877</v>
      </c>
      <c r="BY35" s="49">
        <v>1155.1569999999999</v>
      </c>
      <c r="BZ35" s="49">
        <v>1154.3340000000001</v>
      </c>
      <c r="CA35" s="49">
        <v>1181.826</v>
      </c>
      <c r="CB35" s="49">
        <v>1139.6679999999999</v>
      </c>
      <c r="CC35" s="49">
        <v>1275.31</v>
      </c>
      <c r="CD35" s="49">
        <v>1197.0350000000001</v>
      </c>
      <c r="CE35" s="49">
        <v>1186.1220000000001</v>
      </c>
      <c r="CF35" s="49">
        <v>1018.235</v>
      </c>
      <c r="CG35" s="49">
        <v>1129.5509999999999</v>
      </c>
      <c r="CH35" s="49">
        <v>1187.316</v>
      </c>
      <c r="CI35" s="49">
        <v>1181.8040000000001</v>
      </c>
      <c r="CJ35" s="49">
        <v>1077.479</v>
      </c>
    </row>
    <row r="36" spans="1:88" ht="20.149999999999999" customHeight="1" x14ac:dyDescent="0.25">
      <c r="A36" s="12" t="s">
        <v>31</v>
      </c>
      <c r="B36" s="49">
        <v>1822.1041590832372</v>
      </c>
      <c r="C36" s="49">
        <v>1897.172241276201</v>
      </c>
      <c r="D36" s="49">
        <v>1887.4985748663501</v>
      </c>
      <c r="E36" s="49">
        <v>1869.0547681112946</v>
      </c>
      <c r="F36" s="49">
        <v>1922.4072246656694</v>
      </c>
      <c r="G36" s="49">
        <v>2027.6417088271951</v>
      </c>
      <c r="H36" s="49">
        <v>1893.9112788753034</v>
      </c>
      <c r="I36" s="49">
        <v>1844.6163815212994</v>
      </c>
      <c r="J36" s="49">
        <v>2021.0597572724175</v>
      </c>
      <c r="K36" s="49">
        <v>2005.8192656875178</v>
      </c>
      <c r="L36" s="13">
        <v>1923.2500053903671</v>
      </c>
      <c r="M36" s="13">
        <v>2025.2108117177715</v>
      </c>
      <c r="N36" s="13">
        <v>2052.2159456712893</v>
      </c>
      <c r="O36" s="13">
        <v>2064.3874775651393</v>
      </c>
      <c r="P36" s="13">
        <v>2021.5647828826625</v>
      </c>
      <c r="Q36" s="13">
        <v>1982.0797079685333</v>
      </c>
      <c r="R36" s="56">
        <f t="shared" si="20"/>
        <v>1991.1829803596563</v>
      </c>
      <c r="S36" s="14">
        <v>2000.2862527507793</v>
      </c>
      <c r="T36" s="13">
        <v>2031.5553178881905</v>
      </c>
      <c r="U36" s="13">
        <v>2069.8995512607507</v>
      </c>
      <c r="V36" s="13">
        <v>2082.0483207916973</v>
      </c>
      <c r="W36" s="13">
        <v>2096.3773483400983</v>
      </c>
      <c r="X36" s="13">
        <v>2073.0608717131145</v>
      </c>
      <c r="Y36" s="13">
        <v>2030.9990342243022</v>
      </c>
      <c r="Z36" s="13">
        <v>2059.656136011009</v>
      </c>
      <c r="AA36" s="13">
        <v>2085.7693225204507</v>
      </c>
      <c r="AB36" s="13">
        <v>2068.3863017803264</v>
      </c>
      <c r="AC36" s="13">
        <v>2058.1772201137437</v>
      </c>
      <c r="AD36" s="13">
        <v>2117.9469226775223</v>
      </c>
      <c r="AE36" s="13">
        <v>2101.2020231328047</v>
      </c>
      <c r="AF36" s="13">
        <v>2158.0542263017637</v>
      </c>
      <c r="AG36" s="13">
        <v>2192.1052077456134</v>
      </c>
      <c r="AH36" s="13">
        <v>2085.4080879411495</v>
      </c>
      <c r="AI36" s="13">
        <v>2110.6324993341987</v>
      </c>
      <c r="AJ36" s="13">
        <v>2020.1079002005024</v>
      </c>
      <c r="AK36" s="13">
        <v>2076.367563720391</v>
      </c>
      <c r="AL36" s="13">
        <v>2080.6373372383773</v>
      </c>
      <c r="AM36" s="13">
        <v>2094.7079323245534</v>
      </c>
      <c r="AN36" s="13">
        <v>2059.3949378360048</v>
      </c>
      <c r="AO36" s="13">
        <v>2060.293038065613</v>
      </c>
      <c r="AP36" s="13">
        <v>2045.6527197449423</v>
      </c>
      <c r="AQ36" s="13">
        <v>2048.7757988831031</v>
      </c>
      <c r="AR36" s="13">
        <v>1981.0414405963043</v>
      </c>
      <c r="AS36" s="13">
        <v>1919.8340442246158</v>
      </c>
      <c r="AT36" s="13">
        <v>1865.3093332348478</v>
      </c>
      <c r="AU36" s="13">
        <v>1996.4878420590508</v>
      </c>
      <c r="AV36" s="13">
        <v>1898.716305593407</v>
      </c>
      <c r="AW36" s="13">
        <v>1903.3705014354618</v>
      </c>
      <c r="AX36" s="56">
        <f t="shared" si="21"/>
        <v>1977.5877507177308</v>
      </c>
      <c r="AY36" s="56">
        <f t="shared" si="22"/>
        <v>2014.6963753588652</v>
      </c>
      <c r="AZ36" s="56">
        <f t="shared" si="23"/>
        <v>2033.2506876794325</v>
      </c>
      <c r="BA36" s="38">
        <v>2051.8049999999998</v>
      </c>
      <c r="BB36" s="13">
        <v>2135.6899048752985</v>
      </c>
      <c r="BC36" s="13">
        <v>2048.338308007721</v>
      </c>
      <c r="BD36" s="13">
        <v>2062.0281929575199</v>
      </c>
      <c r="BE36" s="13">
        <v>2124.9229094045654</v>
      </c>
      <c r="BF36" s="13">
        <v>2150.0127444807322</v>
      </c>
      <c r="BG36" s="13">
        <v>2162.5859373665539</v>
      </c>
      <c r="BH36" s="13">
        <v>2153.2266262427756</v>
      </c>
      <c r="BI36" s="13">
        <v>2187.1284049854999</v>
      </c>
      <c r="BJ36" s="13">
        <v>2248.1271623819162</v>
      </c>
      <c r="BK36" s="49">
        <v>2200.0154742648169</v>
      </c>
      <c r="BL36" s="49">
        <v>2189.0990000000002</v>
      </c>
      <c r="BM36" s="49">
        <v>2219.8609999999999</v>
      </c>
      <c r="BN36" s="49">
        <v>2268.4779946323915</v>
      </c>
      <c r="BO36" s="49">
        <v>2219.8539999999998</v>
      </c>
      <c r="BP36" s="49">
        <v>2238.6379999999999</v>
      </c>
      <c r="BQ36" s="49">
        <v>1651.31</v>
      </c>
      <c r="BR36" s="49">
        <v>1906.66</v>
      </c>
      <c r="BS36" s="49">
        <v>1958.8430000000001</v>
      </c>
      <c r="BT36" s="49">
        <v>2165.3919999999998</v>
      </c>
      <c r="BU36" s="49">
        <v>2115.3809999999999</v>
      </c>
      <c r="BV36" s="49">
        <v>2335.2930000000001</v>
      </c>
      <c r="BW36" s="49">
        <v>2425.3870000000002</v>
      </c>
      <c r="BX36" s="49">
        <v>2249.85</v>
      </c>
      <c r="BY36" s="49">
        <v>2472.7779999999998</v>
      </c>
      <c r="BZ36" s="49">
        <v>2463.683</v>
      </c>
      <c r="CA36" s="49">
        <v>2326.402</v>
      </c>
      <c r="CB36" s="49">
        <v>2388.8249999999998</v>
      </c>
      <c r="CC36" s="49">
        <v>2384.62</v>
      </c>
      <c r="CD36" s="49">
        <v>2574.16</v>
      </c>
      <c r="CE36" s="49">
        <v>2515.2399999999998</v>
      </c>
      <c r="CF36" s="49">
        <v>2463.741</v>
      </c>
      <c r="CG36" s="49">
        <v>2479.422</v>
      </c>
      <c r="CH36" s="49">
        <v>2497.7350000000001</v>
      </c>
      <c r="CI36" s="49">
        <v>2434.2170000000001</v>
      </c>
      <c r="CJ36" s="49">
        <v>2549.1179999999999</v>
      </c>
    </row>
    <row r="37" spans="1:88" ht="20.149999999999999" customHeight="1" x14ac:dyDescent="0.25">
      <c r="A37" s="12" t="s">
        <v>32</v>
      </c>
      <c r="B37" s="49">
        <v>237.7473007485024</v>
      </c>
      <c r="C37" s="49">
        <v>285.00971695980462</v>
      </c>
      <c r="D37" s="49">
        <v>322.67001650954745</v>
      </c>
      <c r="E37" s="49">
        <v>302.26374987042067</v>
      </c>
      <c r="F37" s="49">
        <v>338.98582825868544</v>
      </c>
      <c r="G37" s="49">
        <v>313.57706018204516</v>
      </c>
      <c r="H37" s="49">
        <v>323.44067053046092</v>
      </c>
      <c r="I37" s="49">
        <v>317.45522565810165</v>
      </c>
      <c r="J37" s="49">
        <v>319.54350833987553</v>
      </c>
      <c r="K37" s="49">
        <v>322.25985102354178</v>
      </c>
      <c r="L37" s="13">
        <v>350.80333157531533</v>
      </c>
      <c r="M37" s="13">
        <v>346.97126931393825</v>
      </c>
      <c r="N37" s="13">
        <v>368.61633095304705</v>
      </c>
      <c r="O37" s="13">
        <v>403.03735001618969</v>
      </c>
      <c r="P37" s="13">
        <v>397.13155019677237</v>
      </c>
      <c r="Q37" s="13">
        <v>352.28050692240294</v>
      </c>
      <c r="R37" s="56">
        <f t="shared" si="20"/>
        <v>352.44309242325107</v>
      </c>
      <c r="S37" s="14">
        <v>352.60567792409927</v>
      </c>
      <c r="T37" s="13">
        <v>392.95799769125523</v>
      </c>
      <c r="U37" s="13">
        <v>357.92286960090109</v>
      </c>
      <c r="V37" s="13">
        <v>336.70617488318675</v>
      </c>
      <c r="W37" s="13">
        <v>431.85514306272574</v>
      </c>
      <c r="X37" s="13">
        <v>385.03486436198432</v>
      </c>
      <c r="Y37" s="13">
        <v>367.33697806132113</v>
      </c>
      <c r="Z37" s="13">
        <v>342.96614978835072</v>
      </c>
      <c r="AA37" s="13">
        <v>378.95223182008186</v>
      </c>
      <c r="AB37" s="13">
        <v>449.29471310585922</v>
      </c>
      <c r="AC37" s="13">
        <v>425.94255562063682</v>
      </c>
      <c r="AD37" s="13">
        <v>356.9681909180066</v>
      </c>
      <c r="AE37" s="13">
        <v>371.25778740819214</v>
      </c>
      <c r="AF37" s="13">
        <v>385.924720154814</v>
      </c>
      <c r="AG37" s="13">
        <v>395.35789773511647</v>
      </c>
      <c r="AH37" s="13">
        <v>435.23788141175498</v>
      </c>
      <c r="AI37" s="13">
        <v>398.867336948603</v>
      </c>
      <c r="AJ37" s="13">
        <v>401.66498757273484</v>
      </c>
      <c r="AK37" s="13">
        <v>394.4364324940874</v>
      </c>
      <c r="AL37" s="13">
        <v>409.71665031896708</v>
      </c>
      <c r="AM37" s="13">
        <v>433.57685700458961</v>
      </c>
      <c r="AN37" s="13">
        <v>414.52588622749056</v>
      </c>
      <c r="AO37" s="13">
        <v>382.73740839906509</v>
      </c>
      <c r="AP37" s="13">
        <v>396.54510969892567</v>
      </c>
      <c r="AQ37" s="13">
        <v>375.51432397627997</v>
      </c>
      <c r="AR37" s="13">
        <v>409.83098303332287</v>
      </c>
      <c r="AS37" s="13">
        <v>384.03631786201515</v>
      </c>
      <c r="AT37" s="13">
        <v>440.82419042314484</v>
      </c>
      <c r="AU37" s="13">
        <v>399.54694473841204</v>
      </c>
      <c r="AV37" s="13">
        <v>424.53850956131652</v>
      </c>
      <c r="AW37" s="13">
        <v>371.52996126054944</v>
      </c>
      <c r="AX37" s="56">
        <f t="shared" si="21"/>
        <v>394.92398063027474</v>
      </c>
      <c r="AY37" s="56">
        <f t="shared" si="22"/>
        <v>406.62099031513736</v>
      </c>
      <c r="AZ37" s="56">
        <f t="shared" si="23"/>
        <v>412.46949515756864</v>
      </c>
      <c r="BA37" s="38">
        <v>418.31799999999998</v>
      </c>
      <c r="BB37" s="13">
        <v>420.35906604284924</v>
      </c>
      <c r="BC37" s="13">
        <v>431.63916841557625</v>
      </c>
      <c r="BD37" s="13">
        <v>449.12218163114477</v>
      </c>
      <c r="BE37" s="13">
        <v>461.94906068817488</v>
      </c>
      <c r="BF37" s="13">
        <v>496.54923291535283</v>
      </c>
      <c r="BG37" s="13">
        <v>468.88472722130405</v>
      </c>
      <c r="BH37" s="13">
        <v>519.16063703983298</v>
      </c>
      <c r="BI37" s="13">
        <v>497.80079085552347</v>
      </c>
      <c r="BJ37" s="13">
        <v>466.7498411799977</v>
      </c>
      <c r="BK37" s="49">
        <v>470.61915656927675</v>
      </c>
      <c r="BL37" s="49">
        <v>483.517</v>
      </c>
      <c r="BM37" s="49">
        <v>465.37900000000002</v>
      </c>
      <c r="BN37" s="49">
        <v>418.27014103809796</v>
      </c>
      <c r="BO37" s="49">
        <v>493.86399999999998</v>
      </c>
      <c r="BP37" s="49">
        <v>485.30700000000002</v>
      </c>
      <c r="BQ37" s="49">
        <v>260.66699999999997</v>
      </c>
      <c r="BR37" s="49">
        <v>395.464</v>
      </c>
      <c r="BS37" s="49">
        <v>315.41899999999998</v>
      </c>
      <c r="BT37" s="49">
        <v>335.40100000000001</v>
      </c>
      <c r="BU37" s="49">
        <v>405.721</v>
      </c>
      <c r="BV37" s="49">
        <v>409.54199999999997</v>
      </c>
      <c r="BW37" s="49">
        <v>426.11900000000003</v>
      </c>
      <c r="BX37" s="49">
        <v>453.70400000000001</v>
      </c>
      <c r="BY37" s="49">
        <v>486.26900000000001</v>
      </c>
      <c r="BZ37" s="49">
        <v>466.61700000000002</v>
      </c>
      <c r="CA37" s="49">
        <v>518.52099999999996</v>
      </c>
      <c r="CB37" s="49">
        <v>507.98099999999999</v>
      </c>
      <c r="CC37" s="49">
        <v>466.46899999999999</v>
      </c>
      <c r="CD37" s="49">
        <v>570.32600000000002</v>
      </c>
      <c r="CE37" s="49">
        <v>603.75400000000002</v>
      </c>
      <c r="CF37" s="49">
        <v>533.36199999999997</v>
      </c>
      <c r="CG37" s="49">
        <v>509.77199999999999</v>
      </c>
      <c r="CH37" s="49">
        <v>665.06600000000003</v>
      </c>
      <c r="CI37" s="49">
        <v>762.904</v>
      </c>
      <c r="CJ37" s="49">
        <v>660.31899999999996</v>
      </c>
    </row>
    <row r="38" spans="1:88" ht="20.149999999999999" customHeight="1" x14ac:dyDescent="0.25">
      <c r="A38" s="12" t="s">
        <v>33</v>
      </c>
      <c r="B38" s="49">
        <v>594.3174819750501</v>
      </c>
      <c r="C38" s="49">
        <v>629.01685283980555</v>
      </c>
      <c r="D38" s="49">
        <v>605.26004026227054</v>
      </c>
      <c r="E38" s="49">
        <v>596.37906537453409</v>
      </c>
      <c r="F38" s="49">
        <v>658.39823364315657</v>
      </c>
      <c r="G38" s="49">
        <v>672.50031293750692</v>
      </c>
      <c r="H38" s="49">
        <v>652.53117398670963</v>
      </c>
      <c r="I38" s="49">
        <v>648.38226025277072</v>
      </c>
      <c r="J38" s="49">
        <v>671.57744164286714</v>
      </c>
      <c r="K38" s="49">
        <v>671.03137630261836</v>
      </c>
      <c r="L38" s="13">
        <v>662.23916708560125</v>
      </c>
      <c r="M38" s="13">
        <v>652.05625121167986</v>
      </c>
      <c r="N38" s="13">
        <v>667.22566445770326</v>
      </c>
      <c r="O38" s="13">
        <v>662.77713873661241</v>
      </c>
      <c r="P38" s="13">
        <v>686.97810610747138</v>
      </c>
      <c r="Q38" s="13">
        <v>735.54806050910088</v>
      </c>
      <c r="R38" s="56">
        <f t="shared" si="20"/>
        <v>723.41939480881683</v>
      </c>
      <c r="S38" s="14">
        <v>711.29072910853279</v>
      </c>
      <c r="T38" s="13">
        <v>706.25677607627551</v>
      </c>
      <c r="U38" s="13">
        <v>790.87541667608673</v>
      </c>
      <c r="V38" s="13">
        <v>711.53524420470001</v>
      </c>
      <c r="W38" s="13">
        <v>728.37121545755917</v>
      </c>
      <c r="X38" s="13">
        <v>739.16915526905029</v>
      </c>
      <c r="Y38" s="13">
        <v>736.28753607968406</v>
      </c>
      <c r="Z38" s="13">
        <v>739.97236499112375</v>
      </c>
      <c r="AA38" s="13">
        <v>704.03467736568973</v>
      </c>
      <c r="AB38" s="13">
        <v>705.15753851858722</v>
      </c>
      <c r="AC38" s="13">
        <v>737.79656565028392</v>
      </c>
      <c r="AD38" s="13">
        <v>769.86819022029897</v>
      </c>
      <c r="AE38" s="13">
        <v>736.57294805921845</v>
      </c>
      <c r="AF38" s="13">
        <v>722.17739964455268</v>
      </c>
      <c r="AG38" s="13">
        <v>742.2883668689351</v>
      </c>
      <c r="AH38" s="13">
        <v>713.44340029256784</v>
      </c>
      <c r="AI38" s="13">
        <v>805.96272053562495</v>
      </c>
      <c r="AJ38" s="13">
        <v>862.09472467842727</v>
      </c>
      <c r="AK38" s="13">
        <v>897.25031843495901</v>
      </c>
      <c r="AL38" s="13">
        <v>922.35287202620907</v>
      </c>
      <c r="AM38" s="13">
        <v>958.20431922314935</v>
      </c>
      <c r="AN38" s="13">
        <v>893.27883851429567</v>
      </c>
      <c r="AO38" s="13">
        <v>867.02192267039777</v>
      </c>
      <c r="AP38" s="13">
        <v>901.93582360970004</v>
      </c>
      <c r="AQ38" s="13">
        <v>942.95330753197425</v>
      </c>
      <c r="AR38" s="13">
        <v>875.21482880993165</v>
      </c>
      <c r="AS38" s="13">
        <v>905.43807800295019</v>
      </c>
      <c r="AT38" s="13">
        <v>897.25538358128529</v>
      </c>
      <c r="AU38" s="13">
        <v>879.06657394194121</v>
      </c>
      <c r="AV38" s="13">
        <v>908.41729432242687</v>
      </c>
      <c r="AW38" s="13">
        <v>943.42714916486295</v>
      </c>
      <c r="AX38" s="56">
        <f t="shared" si="21"/>
        <v>907.37407458243149</v>
      </c>
      <c r="AY38" s="56">
        <f t="shared" si="22"/>
        <v>889.34753729121576</v>
      </c>
      <c r="AZ38" s="56">
        <f t="shared" si="23"/>
        <v>880.33426864560784</v>
      </c>
      <c r="BA38" s="38">
        <v>871.32100000000003</v>
      </c>
      <c r="BB38" s="13">
        <v>810.48956824668494</v>
      </c>
      <c r="BC38" s="13">
        <v>838.41993635734423</v>
      </c>
      <c r="BD38" s="13">
        <v>864.71071945192807</v>
      </c>
      <c r="BE38" s="13">
        <v>859.42270661013504</v>
      </c>
      <c r="BF38" s="13">
        <v>834.77908388214553</v>
      </c>
      <c r="BG38" s="13">
        <v>866.45873423841772</v>
      </c>
      <c r="BH38" s="13">
        <v>863.78949838428696</v>
      </c>
      <c r="BI38" s="13">
        <v>865.59663456484475</v>
      </c>
      <c r="BJ38" s="13">
        <v>845.10959711936505</v>
      </c>
      <c r="BK38" s="49">
        <v>860.00410365402058</v>
      </c>
      <c r="BL38" s="49">
        <v>856.89</v>
      </c>
      <c r="BM38" s="49">
        <v>893.85400000000004</v>
      </c>
      <c r="BN38" s="49">
        <v>920.18264411151006</v>
      </c>
      <c r="BO38" s="49">
        <v>924.64700000000005</v>
      </c>
      <c r="BP38" s="49">
        <v>874.83900000000006</v>
      </c>
      <c r="BQ38" s="49">
        <v>694.67499999999995</v>
      </c>
      <c r="BR38" s="49">
        <v>793.82399999999996</v>
      </c>
      <c r="BS38" s="49">
        <v>780.43200000000002</v>
      </c>
      <c r="BT38" s="49">
        <v>936.65499999999997</v>
      </c>
      <c r="BU38" s="49">
        <v>960.30600000000004</v>
      </c>
      <c r="BV38" s="49">
        <v>948.79399999999998</v>
      </c>
      <c r="BW38" s="49">
        <v>943.09100000000001</v>
      </c>
      <c r="BX38" s="49">
        <v>1013.629</v>
      </c>
      <c r="BY38" s="49">
        <v>953.95699999999999</v>
      </c>
      <c r="BZ38" s="49">
        <v>896.67600000000004</v>
      </c>
      <c r="CA38" s="49">
        <v>941.61400000000003</v>
      </c>
      <c r="CB38" s="49">
        <v>996.298</v>
      </c>
      <c r="CC38" s="49">
        <v>949.28800000000001</v>
      </c>
      <c r="CD38" s="49">
        <v>954.07899999999995</v>
      </c>
      <c r="CE38" s="49">
        <v>978.24300000000005</v>
      </c>
      <c r="CF38" s="49">
        <v>1031.1890000000001</v>
      </c>
      <c r="CG38" s="49">
        <v>1101.7070000000001</v>
      </c>
      <c r="CH38" s="49">
        <v>1027.403</v>
      </c>
      <c r="CI38" s="49">
        <v>1132.933</v>
      </c>
      <c r="CJ38" s="49">
        <v>1152.492</v>
      </c>
    </row>
    <row r="39" spans="1:88" ht="20.149999999999999" customHeight="1" x14ac:dyDescent="0.25">
      <c r="A39" s="12" t="s">
        <v>34</v>
      </c>
      <c r="B39" s="49">
        <v>808.04046783895456</v>
      </c>
      <c r="C39" s="49">
        <v>856.22119243299926</v>
      </c>
      <c r="D39" s="49">
        <v>875.35753272961506</v>
      </c>
      <c r="E39" s="49">
        <v>840.02376841687146</v>
      </c>
      <c r="F39" s="49">
        <v>813.7723458159353</v>
      </c>
      <c r="G39" s="49">
        <v>899.47619729030237</v>
      </c>
      <c r="H39" s="49">
        <v>942.30893802717856</v>
      </c>
      <c r="I39" s="49">
        <v>942.55267610588419</v>
      </c>
      <c r="J39" s="49">
        <v>946.49988074420082</v>
      </c>
      <c r="K39" s="49">
        <v>931.54910270895994</v>
      </c>
      <c r="L39" s="13">
        <v>967.86242087503126</v>
      </c>
      <c r="M39" s="13">
        <v>1027.7218414420483</v>
      </c>
      <c r="N39" s="13">
        <v>1015.673072357637</v>
      </c>
      <c r="O39" s="13">
        <v>980.38960555175959</v>
      </c>
      <c r="P39" s="13">
        <v>1044.1846227803364</v>
      </c>
      <c r="Q39" s="13">
        <v>1063.6361975790594</v>
      </c>
      <c r="R39" s="56">
        <f t="shared" si="20"/>
        <v>1076.4956557777803</v>
      </c>
      <c r="S39" s="14">
        <v>1089.3551139765011</v>
      </c>
      <c r="T39" s="13">
        <v>1040.8429625039209</v>
      </c>
      <c r="U39" s="13">
        <v>1123.2736992128548</v>
      </c>
      <c r="V39" s="13">
        <v>1037.6311801182305</v>
      </c>
      <c r="W39" s="13">
        <v>1018.6177150010267</v>
      </c>
      <c r="X39" s="13">
        <v>1117.1765359439844</v>
      </c>
      <c r="Y39" s="13">
        <v>1217.2403053965224</v>
      </c>
      <c r="Z39" s="13">
        <v>1076.1196144124326</v>
      </c>
      <c r="AA39" s="13">
        <v>1078.5268014695953</v>
      </c>
      <c r="AB39" s="13">
        <v>1070.3344767778058</v>
      </c>
      <c r="AC39" s="13">
        <v>1196.1845229989924</v>
      </c>
      <c r="AD39" s="13">
        <v>1136.6533510855295</v>
      </c>
      <c r="AE39" s="13">
        <v>1148.3385168594357</v>
      </c>
      <c r="AF39" s="13">
        <v>1157.1839348118594</v>
      </c>
      <c r="AG39" s="13">
        <v>1217.1160491530595</v>
      </c>
      <c r="AH39" s="13">
        <v>1105.3847702220414</v>
      </c>
      <c r="AI39" s="13">
        <v>1119.062574078667</v>
      </c>
      <c r="AJ39" s="13">
        <v>1065.7814828061566</v>
      </c>
      <c r="AK39" s="13">
        <v>1088.9505930302266</v>
      </c>
      <c r="AL39" s="13">
        <v>1125.998148262752</v>
      </c>
      <c r="AM39" s="13">
        <v>1152.850723048334</v>
      </c>
      <c r="AN39" s="13">
        <v>1162.7786247185179</v>
      </c>
      <c r="AO39" s="13">
        <v>1170.5146317765873</v>
      </c>
      <c r="AP39" s="13">
        <v>1017.6509764896384</v>
      </c>
      <c r="AQ39" s="13">
        <v>1066.7725505422634</v>
      </c>
      <c r="AR39" s="13">
        <v>1093.4689650672537</v>
      </c>
      <c r="AS39" s="13">
        <v>1023.738619124165</v>
      </c>
      <c r="AT39" s="13">
        <v>1048.4653794594567</v>
      </c>
      <c r="AU39" s="13">
        <v>1091.3829744812761</v>
      </c>
      <c r="AV39" s="13">
        <v>1096.5093584892156</v>
      </c>
      <c r="AW39" s="13">
        <v>1017.326018762666</v>
      </c>
      <c r="AX39" s="56">
        <f t="shared" si="21"/>
        <v>1061.866009381333</v>
      </c>
      <c r="AY39" s="56">
        <f t="shared" si="22"/>
        <v>1084.1360046906666</v>
      </c>
      <c r="AZ39" s="56">
        <f t="shared" si="23"/>
        <v>1095.2710023453333</v>
      </c>
      <c r="BA39" s="38">
        <v>1106.4059999999999</v>
      </c>
      <c r="BB39" s="13">
        <v>1132.3659289147952</v>
      </c>
      <c r="BC39" s="13">
        <v>1254.1320124685265</v>
      </c>
      <c r="BD39" s="13">
        <v>1261.671379780656</v>
      </c>
      <c r="BE39" s="13">
        <v>1182.2987609866627</v>
      </c>
      <c r="BF39" s="13">
        <v>1197.3451860415166</v>
      </c>
      <c r="BG39" s="13">
        <v>1270.3676439308651</v>
      </c>
      <c r="BH39" s="13">
        <v>1256.8286928377022</v>
      </c>
      <c r="BI39" s="13">
        <v>1168.209900167355</v>
      </c>
      <c r="BJ39" s="13">
        <v>1196.5949244523656</v>
      </c>
      <c r="BK39" s="49">
        <v>1224.5782712190839</v>
      </c>
      <c r="BL39" s="49">
        <v>1329.2919999999999</v>
      </c>
      <c r="BM39" s="49">
        <v>1256.53</v>
      </c>
      <c r="BN39" s="49">
        <v>1291.7911659736931</v>
      </c>
      <c r="BO39" s="49">
        <v>1268.538</v>
      </c>
      <c r="BP39" s="49">
        <v>1260.0820000000001</v>
      </c>
      <c r="BQ39" s="49">
        <v>1042.241</v>
      </c>
      <c r="BR39" s="49">
        <v>1092.009</v>
      </c>
      <c r="BS39" s="49">
        <v>1269.5160000000001</v>
      </c>
      <c r="BT39" s="49">
        <v>1323.492</v>
      </c>
      <c r="BU39" s="49">
        <v>1283.174</v>
      </c>
      <c r="BV39" s="49">
        <v>1280.4559999999999</v>
      </c>
      <c r="BW39" s="49">
        <v>1393.0340000000001</v>
      </c>
      <c r="BX39" s="49">
        <v>1314.268</v>
      </c>
      <c r="BY39" s="49">
        <v>1324.44</v>
      </c>
      <c r="BZ39" s="49">
        <v>1333.296</v>
      </c>
      <c r="CA39" s="49">
        <v>1335.01</v>
      </c>
      <c r="CB39" s="49">
        <v>1374.731</v>
      </c>
      <c r="CC39" s="49">
        <v>1388.836</v>
      </c>
      <c r="CD39" s="49">
        <v>1364.319</v>
      </c>
      <c r="CE39" s="49">
        <v>1510.835</v>
      </c>
      <c r="CF39" s="49">
        <v>1453.7829999999999</v>
      </c>
      <c r="CG39" s="49">
        <v>1453.3620000000001</v>
      </c>
      <c r="CH39" s="49">
        <v>1491.847</v>
      </c>
      <c r="CI39" s="49">
        <v>1610.739</v>
      </c>
      <c r="CJ39" s="49">
        <v>1499.9159999999999</v>
      </c>
    </row>
    <row r="40" spans="1:88" ht="20.149999999999999" customHeight="1" x14ac:dyDescent="0.25">
      <c r="A40" s="12" t="s">
        <v>35</v>
      </c>
      <c r="B40" s="49">
        <v>715.30925241900854</v>
      </c>
      <c r="C40" s="49">
        <v>671.36227440531502</v>
      </c>
      <c r="D40" s="49">
        <v>614.20172023510713</v>
      </c>
      <c r="E40" s="49">
        <v>703.77062514877548</v>
      </c>
      <c r="F40" s="49">
        <v>693.01315603103285</v>
      </c>
      <c r="G40" s="49">
        <v>637.72554399114154</v>
      </c>
      <c r="H40" s="49">
        <v>627.436022456356</v>
      </c>
      <c r="I40" s="49">
        <v>709.88843775791918</v>
      </c>
      <c r="J40" s="49">
        <v>701.70938568713245</v>
      </c>
      <c r="K40" s="49">
        <v>760.7526412500639</v>
      </c>
      <c r="L40" s="13">
        <v>708.70399127156998</v>
      </c>
      <c r="M40" s="13">
        <v>759.86957058840233</v>
      </c>
      <c r="N40" s="13">
        <v>806.50444449380359</v>
      </c>
      <c r="O40" s="13">
        <v>803.03435905555807</v>
      </c>
      <c r="P40" s="13">
        <v>693.08554952453005</v>
      </c>
      <c r="Q40" s="13">
        <v>784.89855135798678</v>
      </c>
      <c r="R40" s="56">
        <f t="shared" si="20"/>
        <v>783.88716586610349</v>
      </c>
      <c r="S40" s="14">
        <v>782.87578037422008</v>
      </c>
      <c r="T40" s="13">
        <v>785.59004337040972</v>
      </c>
      <c r="U40" s="13">
        <v>774.77369948147145</v>
      </c>
      <c r="V40" s="13">
        <v>762.96894403816827</v>
      </c>
      <c r="W40" s="13">
        <v>813.02928719978297</v>
      </c>
      <c r="X40" s="13">
        <v>817.7792696771229</v>
      </c>
      <c r="Y40" s="13">
        <v>860.53523012033065</v>
      </c>
      <c r="Z40" s="13">
        <v>813.16990545495548</v>
      </c>
      <c r="AA40" s="13">
        <v>823.93280720717041</v>
      </c>
      <c r="AB40" s="13">
        <v>840.74084725245518</v>
      </c>
      <c r="AC40" s="13">
        <v>832.09079097282995</v>
      </c>
      <c r="AD40" s="13">
        <v>830.56039154299651</v>
      </c>
      <c r="AE40" s="13">
        <v>847.05429071178776</v>
      </c>
      <c r="AF40" s="13">
        <v>841.37638550958059</v>
      </c>
      <c r="AG40" s="13">
        <v>866.47829555174235</v>
      </c>
      <c r="AH40" s="13">
        <v>879.71978411231521</v>
      </c>
      <c r="AI40" s="13">
        <v>832.31237799816984</v>
      </c>
      <c r="AJ40" s="13">
        <v>832.62498496091644</v>
      </c>
      <c r="AK40" s="13">
        <v>854.10313022411685</v>
      </c>
      <c r="AL40" s="13">
        <v>869.69288206100475</v>
      </c>
      <c r="AM40" s="13">
        <v>911.38737280052874</v>
      </c>
      <c r="AN40" s="13">
        <v>872.88098508892517</v>
      </c>
      <c r="AO40" s="13">
        <v>897.19430993436879</v>
      </c>
      <c r="AP40" s="13">
        <v>908.22740544273404</v>
      </c>
      <c r="AQ40" s="13">
        <v>858.93183509851633</v>
      </c>
      <c r="AR40" s="13">
        <v>880.95439932402485</v>
      </c>
      <c r="AS40" s="13">
        <v>900.06965823907831</v>
      </c>
      <c r="AT40" s="13">
        <v>889.52601998515661</v>
      </c>
      <c r="AU40" s="13">
        <v>864.21015454912015</v>
      </c>
      <c r="AV40" s="13">
        <v>873.59219095510616</v>
      </c>
      <c r="AW40" s="13">
        <v>899.88725369048666</v>
      </c>
      <c r="AX40" s="56">
        <f t="shared" si="21"/>
        <v>907.53812684524337</v>
      </c>
      <c r="AY40" s="56">
        <f t="shared" si="22"/>
        <v>911.36356342262161</v>
      </c>
      <c r="AZ40" s="56">
        <f t="shared" si="23"/>
        <v>913.27628171131073</v>
      </c>
      <c r="BA40" s="38">
        <v>915.18899999999996</v>
      </c>
      <c r="BB40" s="13">
        <v>925.21545895670977</v>
      </c>
      <c r="BC40" s="13">
        <v>951.01530531892683</v>
      </c>
      <c r="BD40" s="13">
        <v>908.4569885824335</v>
      </c>
      <c r="BE40" s="13">
        <v>954.82371359044078</v>
      </c>
      <c r="BF40" s="13">
        <v>968.32384274595506</v>
      </c>
      <c r="BG40" s="13">
        <v>1006.4442843300786</v>
      </c>
      <c r="BH40" s="13">
        <v>963.92496281989327</v>
      </c>
      <c r="BI40" s="13">
        <v>989.66220225758298</v>
      </c>
      <c r="BJ40" s="13">
        <v>1024.7402399774217</v>
      </c>
      <c r="BK40" s="49">
        <v>1000.6892125445497</v>
      </c>
      <c r="BL40" s="49">
        <v>915.39400000000001</v>
      </c>
      <c r="BM40" s="49">
        <v>1044.3720000000001</v>
      </c>
      <c r="BN40" s="49">
        <v>1031.257907987927</v>
      </c>
      <c r="BO40" s="49">
        <v>993.548</v>
      </c>
      <c r="BP40" s="49">
        <v>942.79399999999998</v>
      </c>
      <c r="BQ40" s="49">
        <v>963.33699999999999</v>
      </c>
      <c r="BR40" s="49">
        <v>1002.701</v>
      </c>
      <c r="BS40" s="49">
        <v>990.65499999999997</v>
      </c>
      <c r="BT40" s="49">
        <v>946.46699999999998</v>
      </c>
      <c r="BU40" s="49">
        <v>1036.9079999999999</v>
      </c>
      <c r="BV40" s="49">
        <v>1001.353</v>
      </c>
      <c r="BW40" s="49">
        <v>1103.3869999999999</v>
      </c>
      <c r="BX40" s="49">
        <v>1059.739</v>
      </c>
      <c r="BY40" s="49">
        <v>956.37400000000002</v>
      </c>
      <c r="BZ40" s="49">
        <v>958.58</v>
      </c>
      <c r="CA40" s="49">
        <v>1165.548</v>
      </c>
      <c r="CB40" s="49">
        <v>994.31399999999996</v>
      </c>
      <c r="CC40" s="49">
        <v>967.43399999999997</v>
      </c>
      <c r="CD40" s="49">
        <v>1097.7860000000001</v>
      </c>
      <c r="CE40" s="49">
        <v>1100.9690000000001</v>
      </c>
      <c r="CF40" s="49">
        <v>1012.352</v>
      </c>
      <c r="CG40" s="49">
        <v>1017.426</v>
      </c>
      <c r="CH40" s="49">
        <v>1105.9580000000001</v>
      </c>
      <c r="CI40" s="49">
        <v>1056.4680000000001</v>
      </c>
      <c r="CJ40" s="49">
        <v>946.697</v>
      </c>
    </row>
    <row r="41" spans="1:88" ht="20.149999999999999" customHeight="1" x14ac:dyDescent="0.25">
      <c r="A41" s="12" t="s">
        <v>36</v>
      </c>
      <c r="B41" s="49">
        <v>467.22926239469592</v>
      </c>
      <c r="C41" s="49">
        <v>470.61963132857954</v>
      </c>
      <c r="D41" s="49">
        <v>456.71389113644983</v>
      </c>
      <c r="E41" s="49">
        <v>457.31611715253871</v>
      </c>
      <c r="F41" s="49">
        <v>501.06861438251775</v>
      </c>
      <c r="G41" s="49">
        <v>491.66457497431168</v>
      </c>
      <c r="H41" s="49">
        <v>510.0732123018563</v>
      </c>
      <c r="I41" s="49">
        <v>491.83491705561784</v>
      </c>
      <c r="J41" s="49">
        <v>507.16230042992282</v>
      </c>
      <c r="K41" s="49">
        <v>522.68929629534705</v>
      </c>
      <c r="L41" s="13">
        <v>524.21236081495499</v>
      </c>
      <c r="M41" s="13">
        <v>527.11900080581256</v>
      </c>
      <c r="N41" s="13">
        <v>512.28418212173119</v>
      </c>
      <c r="O41" s="13">
        <v>508.33267194997757</v>
      </c>
      <c r="P41" s="13">
        <v>544.31223475640581</v>
      </c>
      <c r="Q41" s="13">
        <v>586.26257261178148</v>
      </c>
      <c r="R41" s="56">
        <f t="shared" si="20"/>
        <v>557.35780917463762</v>
      </c>
      <c r="S41" s="14">
        <v>528.45304573749377</v>
      </c>
      <c r="T41" s="13">
        <v>566.16239818995416</v>
      </c>
      <c r="U41" s="13">
        <v>585.42294661975791</v>
      </c>
      <c r="V41" s="13">
        <v>551.38494947798927</v>
      </c>
      <c r="W41" s="13">
        <v>605.95009203547318</v>
      </c>
      <c r="X41" s="13">
        <v>627.67387751616081</v>
      </c>
      <c r="Y41" s="13">
        <v>595.64835524057821</v>
      </c>
      <c r="Z41" s="13">
        <v>586.78485695452548</v>
      </c>
      <c r="AA41" s="13">
        <v>596.23702253668159</v>
      </c>
      <c r="AB41" s="13">
        <v>639.52129750038262</v>
      </c>
      <c r="AC41" s="13">
        <v>594.14728963053506</v>
      </c>
      <c r="AD41" s="13">
        <v>582.48478477012509</v>
      </c>
      <c r="AE41" s="13">
        <v>552.61829285327133</v>
      </c>
      <c r="AF41" s="13">
        <v>571.55631395972227</v>
      </c>
      <c r="AG41" s="13">
        <v>591.59176434135293</v>
      </c>
      <c r="AH41" s="13">
        <v>585.61927071336129</v>
      </c>
      <c r="AI41" s="13">
        <v>599.07219238333994</v>
      </c>
      <c r="AJ41" s="13">
        <v>624.05503998197719</v>
      </c>
      <c r="AK41" s="13">
        <v>616.12165341360696</v>
      </c>
      <c r="AL41" s="13">
        <v>627.39958969510189</v>
      </c>
      <c r="AM41" s="13">
        <v>581.27879543172457</v>
      </c>
      <c r="AN41" s="13">
        <v>617.02991410355776</v>
      </c>
      <c r="AO41" s="13">
        <v>634.55408645363889</v>
      </c>
      <c r="AP41" s="13">
        <v>662.19827667953302</v>
      </c>
      <c r="AQ41" s="13">
        <v>626.92044758975089</v>
      </c>
      <c r="AR41" s="13">
        <v>611.09562704933262</v>
      </c>
      <c r="AS41" s="13">
        <v>578.54938978403095</v>
      </c>
      <c r="AT41" s="13">
        <v>645.81312453548173</v>
      </c>
      <c r="AU41" s="13">
        <v>612.80176141439745</v>
      </c>
      <c r="AV41" s="13">
        <v>635.36658033267736</v>
      </c>
      <c r="AW41" s="13">
        <v>623.09090917682533</v>
      </c>
      <c r="AX41" s="56">
        <f t="shared" si="21"/>
        <v>651.07695458841272</v>
      </c>
      <c r="AY41" s="56">
        <f t="shared" si="22"/>
        <v>665.06997729420641</v>
      </c>
      <c r="AZ41" s="56">
        <f t="shared" si="23"/>
        <v>672.06648864710314</v>
      </c>
      <c r="BA41" s="38">
        <v>679.06299999999999</v>
      </c>
      <c r="BB41" s="13">
        <v>736.39402562038822</v>
      </c>
      <c r="BC41" s="13">
        <v>766.10708864686751</v>
      </c>
      <c r="BD41" s="13">
        <v>738.40449902786816</v>
      </c>
      <c r="BE41" s="13">
        <v>694.83244620053631</v>
      </c>
      <c r="BF41" s="13">
        <v>713.39380522928082</v>
      </c>
      <c r="BG41" s="13">
        <v>745.91924581047704</v>
      </c>
      <c r="BH41" s="13">
        <v>743.77952377336464</v>
      </c>
      <c r="BI41" s="13">
        <v>730.56097095163432</v>
      </c>
      <c r="BJ41" s="13">
        <v>748.51613528846201</v>
      </c>
      <c r="BK41" s="49">
        <v>702.39634750362052</v>
      </c>
      <c r="BL41" s="49">
        <v>721.80899999999997</v>
      </c>
      <c r="BM41" s="49">
        <v>756.66300000000001</v>
      </c>
      <c r="BN41" s="49">
        <v>805.25959007123527</v>
      </c>
      <c r="BO41" s="49">
        <v>793.798</v>
      </c>
      <c r="BP41" s="49">
        <v>749.66600000000005</v>
      </c>
      <c r="BQ41" s="49">
        <v>697.74599999999998</v>
      </c>
      <c r="BR41" s="49">
        <v>761.98400000000004</v>
      </c>
      <c r="BS41" s="49">
        <v>833.78499999999997</v>
      </c>
      <c r="BT41" s="49">
        <v>827.495</v>
      </c>
      <c r="BU41" s="49">
        <v>773.07899999999995</v>
      </c>
      <c r="BV41" s="49">
        <v>827.25699999999995</v>
      </c>
      <c r="BW41" s="49">
        <v>775.06299999999999</v>
      </c>
      <c r="BX41" s="49">
        <v>812.202</v>
      </c>
      <c r="BY41" s="49">
        <v>866.73199999999997</v>
      </c>
      <c r="BZ41" s="49">
        <v>861.36500000000001</v>
      </c>
      <c r="CA41" s="49">
        <v>759.50599999999997</v>
      </c>
      <c r="CB41" s="49">
        <v>782.03700000000003</v>
      </c>
      <c r="CC41" s="49">
        <v>810.87300000000005</v>
      </c>
      <c r="CD41" s="49">
        <v>809.55700000000002</v>
      </c>
      <c r="CE41" s="49">
        <v>815.09500000000003</v>
      </c>
      <c r="CF41" s="49">
        <v>881.96400000000006</v>
      </c>
      <c r="CG41" s="49">
        <v>850.43</v>
      </c>
      <c r="CH41" s="49">
        <v>865.04100000000005</v>
      </c>
      <c r="CI41" s="49">
        <v>899.24400000000003</v>
      </c>
      <c r="CJ41" s="49">
        <v>888.98500000000001</v>
      </c>
    </row>
    <row r="42" spans="1:88" ht="20.149999999999999" customHeight="1" x14ac:dyDescent="0.25">
      <c r="A42" s="12" t="s">
        <v>70</v>
      </c>
      <c r="B42" s="49">
        <v>681.79198234184457</v>
      </c>
      <c r="C42" s="49">
        <v>655.64419536925129</v>
      </c>
      <c r="D42" s="49">
        <v>646.9553501492494</v>
      </c>
      <c r="E42" s="49">
        <v>691.99591351950119</v>
      </c>
      <c r="F42" s="49">
        <v>690.1318927201396</v>
      </c>
      <c r="G42" s="49">
        <v>718.21286723330138</v>
      </c>
      <c r="H42" s="49">
        <v>723.82249922285439</v>
      </c>
      <c r="I42" s="49">
        <v>729.53691123610622</v>
      </c>
      <c r="J42" s="49">
        <v>740.76431733252787</v>
      </c>
      <c r="K42" s="49">
        <v>760.03478101393546</v>
      </c>
      <c r="L42" s="13">
        <v>773.04061039989585</v>
      </c>
      <c r="M42" s="13">
        <v>762.88619509569151</v>
      </c>
      <c r="N42" s="13">
        <v>786.64657388174771</v>
      </c>
      <c r="O42" s="13">
        <v>818.23606393966509</v>
      </c>
      <c r="P42" s="13">
        <v>805.46615100879876</v>
      </c>
      <c r="Q42" s="13">
        <v>806.49533847122018</v>
      </c>
      <c r="R42" s="56">
        <f t="shared" si="20"/>
        <v>804.04503504202148</v>
      </c>
      <c r="S42" s="14">
        <v>801.5947316128229</v>
      </c>
      <c r="T42" s="13">
        <v>809.54091598543562</v>
      </c>
      <c r="U42" s="13">
        <v>785.98124994036755</v>
      </c>
      <c r="V42" s="13">
        <v>815.98965845275336</v>
      </c>
      <c r="W42" s="13">
        <v>767.4936759008732</v>
      </c>
      <c r="X42" s="13">
        <v>821.90314569449095</v>
      </c>
      <c r="Y42" s="13">
        <v>826.89657018255718</v>
      </c>
      <c r="Z42" s="13">
        <v>827.11113045503589</v>
      </c>
      <c r="AA42" s="13">
        <v>781.87002758276128</v>
      </c>
      <c r="AB42" s="13">
        <v>768.25301523416977</v>
      </c>
      <c r="AC42" s="13">
        <v>829.43799658036698</v>
      </c>
      <c r="AD42" s="13">
        <v>874.90527482831715</v>
      </c>
      <c r="AE42" s="13">
        <v>764.77538312693707</v>
      </c>
      <c r="AF42" s="13">
        <v>743.87867732139057</v>
      </c>
      <c r="AG42" s="13">
        <v>816.09264976766747</v>
      </c>
      <c r="AH42" s="13">
        <v>848.82699381078191</v>
      </c>
      <c r="AI42" s="13">
        <v>821.818488633681</v>
      </c>
      <c r="AJ42" s="13">
        <v>798.21552812976336</v>
      </c>
      <c r="AK42" s="13">
        <v>849.0381194020448</v>
      </c>
      <c r="AL42" s="13">
        <v>875.06400168845857</v>
      </c>
      <c r="AM42" s="13">
        <v>816.89375524997581</v>
      </c>
      <c r="AN42" s="13">
        <v>777.8994872662729</v>
      </c>
      <c r="AO42" s="13">
        <v>845.95997200273769</v>
      </c>
      <c r="AP42" s="13">
        <v>823.10011522448008</v>
      </c>
      <c r="AQ42" s="13">
        <v>838.08417258747784</v>
      </c>
      <c r="AR42" s="13">
        <v>775.08537557673651</v>
      </c>
      <c r="AS42" s="13">
        <v>817.26378652305948</v>
      </c>
      <c r="AT42" s="13">
        <v>835.58077269629803</v>
      </c>
      <c r="AU42" s="13">
        <v>803.26217972307745</v>
      </c>
      <c r="AV42" s="13">
        <v>797.62965843443965</v>
      </c>
      <c r="AW42" s="13">
        <v>830.54122892577152</v>
      </c>
      <c r="AX42" s="56">
        <f t="shared" si="21"/>
        <v>853.6241144628857</v>
      </c>
      <c r="AY42" s="56">
        <f t="shared" si="22"/>
        <v>865.16555723144279</v>
      </c>
      <c r="AZ42" s="56">
        <f t="shared" si="23"/>
        <v>870.93627861572145</v>
      </c>
      <c r="BA42" s="38">
        <v>876.70699999999999</v>
      </c>
      <c r="BB42" s="13">
        <v>898.65901087033012</v>
      </c>
      <c r="BC42" s="13">
        <v>905.77841270982174</v>
      </c>
      <c r="BD42" s="13">
        <v>838.89334936694297</v>
      </c>
      <c r="BE42" s="13">
        <v>850.88402931700216</v>
      </c>
      <c r="BF42" s="13">
        <v>918.8152807427806</v>
      </c>
      <c r="BG42" s="13">
        <v>903.83822754651885</v>
      </c>
      <c r="BH42" s="13">
        <v>873.57376278497532</v>
      </c>
      <c r="BI42" s="13">
        <v>874.30270456721564</v>
      </c>
      <c r="BJ42" s="13">
        <v>922.82542146738024</v>
      </c>
      <c r="BK42" s="49">
        <v>942.35208765863763</v>
      </c>
      <c r="BL42" s="49">
        <v>955.72799999999995</v>
      </c>
      <c r="BM42" s="49">
        <v>940.09699999999998</v>
      </c>
      <c r="BN42" s="49">
        <v>898.07320089604332</v>
      </c>
      <c r="BO42" s="49">
        <v>930.66499999999996</v>
      </c>
      <c r="BP42" s="49">
        <v>926.52200000000005</v>
      </c>
      <c r="BQ42" s="49">
        <v>582.93899999999996</v>
      </c>
      <c r="BR42" s="49">
        <v>668.48800000000006</v>
      </c>
      <c r="BS42" s="49">
        <v>729.72400000000005</v>
      </c>
      <c r="BT42" s="49">
        <v>643.80600000000004</v>
      </c>
      <c r="BU42" s="49">
        <v>700.91600000000005</v>
      </c>
      <c r="BV42" s="49">
        <v>777.74400000000003</v>
      </c>
      <c r="BW42" s="49">
        <v>694.16600000000005</v>
      </c>
      <c r="BX42" s="49">
        <v>753.20799999999997</v>
      </c>
      <c r="BY42" s="49">
        <v>851.61</v>
      </c>
      <c r="BZ42" s="49">
        <v>866.14499999999998</v>
      </c>
      <c r="CA42" s="49">
        <v>817.98699999999997</v>
      </c>
      <c r="CB42" s="49">
        <v>889.61</v>
      </c>
      <c r="CC42" s="49">
        <v>831.40899999999999</v>
      </c>
      <c r="CD42" s="49">
        <v>813.15</v>
      </c>
      <c r="CE42" s="49">
        <v>861.97</v>
      </c>
      <c r="CF42" s="49">
        <v>818.447</v>
      </c>
      <c r="CG42" s="49">
        <v>869.24699999999996</v>
      </c>
      <c r="CH42" s="49">
        <v>803.22699999999998</v>
      </c>
      <c r="CI42" s="49">
        <v>859.95299999999997</v>
      </c>
      <c r="CJ42" s="49">
        <v>808.28800000000001</v>
      </c>
    </row>
    <row r="43" spans="1:88" ht="20.149999999999999" customHeight="1" x14ac:dyDescent="0.25">
      <c r="A43" s="28" t="s">
        <v>105</v>
      </c>
      <c r="B43" s="49">
        <v>1074.045277417697</v>
      </c>
      <c r="C43" s="49">
        <v>1089.9812524543074</v>
      </c>
      <c r="D43" s="49">
        <v>1121.5058393761256</v>
      </c>
      <c r="E43" s="49">
        <v>1178.5421465547756</v>
      </c>
      <c r="F43" s="49">
        <v>1177.2325993322263</v>
      </c>
      <c r="G43" s="49">
        <v>1127.6215817373732</v>
      </c>
      <c r="H43" s="49">
        <v>1130.8394066696283</v>
      </c>
      <c r="I43" s="49">
        <v>1236.9947957407192</v>
      </c>
      <c r="J43" s="49">
        <v>1232.2817551681651</v>
      </c>
      <c r="K43" s="49">
        <v>1216.8263509257349</v>
      </c>
      <c r="L43" s="13">
        <v>1247.5204892527333</v>
      </c>
      <c r="M43" s="13">
        <v>1281.9772641512191</v>
      </c>
      <c r="N43" s="13">
        <v>1214.6961391082773</v>
      </c>
      <c r="O43" s="13">
        <v>1266.8390830665601</v>
      </c>
      <c r="P43" s="13">
        <v>1299.1481250457241</v>
      </c>
      <c r="Q43" s="13">
        <v>1302.5118073251253</v>
      </c>
      <c r="R43" s="56">
        <f t="shared" si="20"/>
        <v>1299.7108880914891</v>
      </c>
      <c r="S43" s="14">
        <v>1296.9099688578528</v>
      </c>
      <c r="T43" s="13">
        <v>1319.5959047403935</v>
      </c>
      <c r="U43" s="13">
        <v>1289.6276549237193</v>
      </c>
      <c r="V43" s="13">
        <v>1342.7718178656057</v>
      </c>
      <c r="W43" s="13">
        <v>1327.1393524303908</v>
      </c>
      <c r="X43" s="13">
        <v>1351.7326706850474</v>
      </c>
      <c r="Y43" s="13">
        <v>1352.1779666525711</v>
      </c>
      <c r="Z43" s="13">
        <v>1416.2938536727215</v>
      </c>
      <c r="AA43" s="13">
        <v>1482.1966099109445</v>
      </c>
      <c r="AB43" s="13">
        <v>1417.1186905674992</v>
      </c>
      <c r="AC43" s="13">
        <v>1392.0255112592131</v>
      </c>
      <c r="AD43" s="13">
        <v>1368.4939855029006</v>
      </c>
      <c r="AE43" s="13">
        <v>1467.6182515531204</v>
      </c>
      <c r="AF43" s="13">
        <v>1485.6470677774821</v>
      </c>
      <c r="AG43" s="13">
        <v>1431.5910676524747</v>
      </c>
      <c r="AH43" s="13">
        <v>1455.3600286237356</v>
      </c>
      <c r="AI43" s="13">
        <v>1469.9028705278129</v>
      </c>
      <c r="AJ43" s="13">
        <v>1503.3986894629736</v>
      </c>
      <c r="AK43" s="13">
        <v>1563.0123682082883</v>
      </c>
      <c r="AL43" s="13">
        <v>1539.931954684851</v>
      </c>
      <c r="AM43" s="13">
        <v>1490.4160753432318</v>
      </c>
      <c r="AN43" s="13">
        <v>1470.4641075327024</v>
      </c>
      <c r="AO43" s="13">
        <v>1528.7463279626943</v>
      </c>
      <c r="AP43" s="13">
        <v>1623.1310970611689</v>
      </c>
      <c r="AQ43" s="13">
        <v>1625.0188239570482</v>
      </c>
      <c r="AR43" s="13">
        <v>1605.8245915623836</v>
      </c>
      <c r="AS43" s="13">
        <v>1624.334586490723</v>
      </c>
      <c r="AT43" s="13">
        <v>1536.2889094835846</v>
      </c>
      <c r="AU43" s="13">
        <v>1642.9643499819372</v>
      </c>
      <c r="AV43" s="13">
        <v>1633.149318171073</v>
      </c>
      <c r="AW43" s="13">
        <v>1623.409093689474</v>
      </c>
      <c r="AX43" s="56">
        <f t="shared" si="21"/>
        <v>1572.8255468447369</v>
      </c>
      <c r="AY43" s="56">
        <f t="shared" si="22"/>
        <v>1547.5337734223685</v>
      </c>
      <c r="AZ43" s="56">
        <f t="shared" si="23"/>
        <v>1534.8878867111844</v>
      </c>
      <c r="BA43" s="38">
        <v>1522.242</v>
      </c>
      <c r="BB43" s="13">
        <v>1574.2926972598279</v>
      </c>
      <c r="BC43" s="13">
        <v>1579.608553032228</v>
      </c>
      <c r="BD43" s="13">
        <v>1533.9479387624137</v>
      </c>
      <c r="BE43" s="13">
        <v>1550.7347941461082</v>
      </c>
      <c r="BF43" s="13">
        <v>1630.9316031493975</v>
      </c>
      <c r="BG43" s="13">
        <v>1742.6680202052737</v>
      </c>
      <c r="BH43" s="13">
        <v>1653.0919110345326</v>
      </c>
      <c r="BI43" s="13">
        <v>1562.9735995654132</v>
      </c>
      <c r="BJ43" s="13">
        <v>1554.2381269556604</v>
      </c>
      <c r="BK43" s="49">
        <v>1707.3592749038276</v>
      </c>
      <c r="BL43" s="49">
        <v>1656.3009999999999</v>
      </c>
      <c r="BM43" s="49">
        <v>1537.9390000000001</v>
      </c>
      <c r="BN43" s="49">
        <v>1585.405185884161</v>
      </c>
      <c r="BO43" s="49">
        <v>1713.617</v>
      </c>
      <c r="BP43" s="49">
        <v>1775.549</v>
      </c>
      <c r="BQ43" s="49">
        <v>1380.652</v>
      </c>
      <c r="BR43" s="49">
        <v>1457.538</v>
      </c>
      <c r="BS43" s="49">
        <v>1577.692</v>
      </c>
      <c r="BT43" s="49">
        <v>1827.309</v>
      </c>
      <c r="BU43" s="49">
        <v>1747.9069999999999</v>
      </c>
      <c r="BV43" s="49">
        <v>1813.854</v>
      </c>
      <c r="BW43" s="49">
        <v>1850.412</v>
      </c>
      <c r="BX43" s="49">
        <v>1761.739</v>
      </c>
      <c r="BY43" s="49">
        <v>1815.569</v>
      </c>
      <c r="BZ43" s="49">
        <v>1811.895</v>
      </c>
      <c r="CA43" s="49">
        <v>1863.932</v>
      </c>
      <c r="CB43" s="49">
        <v>1884.241</v>
      </c>
      <c r="CC43" s="49">
        <v>1867.5150000000001</v>
      </c>
      <c r="CD43" s="49">
        <v>1859.5709999999999</v>
      </c>
      <c r="CE43" s="49">
        <v>1785.1469999999999</v>
      </c>
      <c r="CF43" s="49">
        <v>1708.9359999999999</v>
      </c>
      <c r="CG43" s="49">
        <v>1792.1130000000001</v>
      </c>
      <c r="CH43" s="49">
        <v>1828.758</v>
      </c>
      <c r="CI43" s="49">
        <v>1806.768</v>
      </c>
      <c r="CJ43" s="49">
        <v>1754.875</v>
      </c>
    </row>
    <row r="44" spans="1:88" ht="20.149999999999999" customHeight="1" x14ac:dyDescent="0.25">
      <c r="A44" s="12" t="s">
        <v>37</v>
      </c>
      <c r="B44" s="49">
        <v>60.571532367325872</v>
      </c>
      <c r="C44" s="49">
        <v>47.269071460752819</v>
      </c>
      <c r="D44" s="49">
        <v>43.03615525807605</v>
      </c>
      <c r="E44" s="49">
        <v>49.537064946295459</v>
      </c>
      <c r="F44" s="49">
        <v>42.56949292983991</v>
      </c>
      <c r="G44" s="49">
        <v>45.364561684845064</v>
      </c>
      <c r="H44" s="49">
        <v>50.931281510634506</v>
      </c>
      <c r="I44" s="49">
        <v>40.67385183517414</v>
      </c>
      <c r="J44" s="49">
        <v>52.11854519244612</v>
      </c>
      <c r="K44" s="49">
        <v>54.39250562334297</v>
      </c>
      <c r="L44" s="13">
        <v>49.995573455999157</v>
      </c>
      <c r="M44" s="13">
        <v>47.155898898348696</v>
      </c>
      <c r="N44" s="13">
        <v>45.368210420860706</v>
      </c>
      <c r="O44" s="13">
        <v>46.098689634585732</v>
      </c>
      <c r="P44" s="13">
        <v>56.492839771574509</v>
      </c>
      <c r="Q44" s="13">
        <v>51.021827472301332</v>
      </c>
      <c r="R44" s="56">
        <f t="shared" si="20"/>
        <v>55.509115981203728</v>
      </c>
      <c r="S44" s="14">
        <v>59.996404490106123</v>
      </c>
      <c r="T44" s="13">
        <v>58.118969983195051</v>
      </c>
      <c r="U44" s="13">
        <v>60.145157109398895</v>
      </c>
      <c r="V44" s="13">
        <v>65.288072962859573</v>
      </c>
      <c r="W44" s="13">
        <v>63.712993947884314</v>
      </c>
      <c r="X44" s="13">
        <v>61.274976154412606</v>
      </c>
      <c r="Y44" s="13">
        <v>57.442020326785503</v>
      </c>
      <c r="Z44" s="13">
        <v>53.829297551800558</v>
      </c>
      <c r="AA44" s="13">
        <v>50.650805174314009</v>
      </c>
      <c r="AB44" s="13">
        <v>51.371620542172529</v>
      </c>
      <c r="AC44" s="13">
        <v>54.599350431859875</v>
      </c>
      <c r="AD44" s="13">
        <v>64.18819467781033</v>
      </c>
      <c r="AE44" s="13">
        <v>54.844087359690121</v>
      </c>
      <c r="AF44" s="13">
        <v>69.928953313410034</v>
      </c>
      <c r="AG44" s="13">
        <v>67.551316093623441</v>
      </c>
      <c r="AH44" s="13">
        <v>64.898059508970036</v>
      </c>
      <c r="AI44" s="13">
        <v>69.992784861562484</v>
      </c>
      <c r="AJ44" s="13">
        <v>105.16478893750919</v>
      </c>
      <c r="AK44" s="13">
        <v>98.525051153423533</v>
      </c>
      <c r="AL44" s="13">
        <v>96.758248777558819</v>
      </c>
      <c r="AM44" s="13">
        <v>106.79405678528036</v>
      </c>
      <c r="AN44" s="13">
        <v>103.75640789390164</v>
      </c>
      <c r="AO44" s="13">
        <v>124.32010138323139</v>
      </c>
      <c r="AP44" s="13">
        <v>125.2443810729178</v>
      </c>
      <c r="AQ44" s="13">
        <v>144.84089040611943</v>
      </c>
      <c r="AR44" s="13">
        <v>156.65372111978823</v>
      </c>
      <c r="AS44" s="13">
        <v>146.11216052479529</v>
      </c>
      <c r="AT44" s="13">
        <v>116.47544812991738</v>
      </c>
      <c r="AU44" s="13">
        <v>128.15739862363179</v>
      </c>
      <c r="AV44" s="13">
        <v>153.17870457621228</v>
      </c>
      <c r="AW44" s="13">
        <v>125.73241225767873</v>
      </c>
      <c r="AX44" s="56">
        <f t="shared" si="21"/>
        <v>115.90370612883936</v>
      </c>
      <c r="AY44" s="56">
        <f t="shared" si="22"/>
        <v>110.98935306441967</v>
      </c>
      <c r="AZ44" s="56">
        <f t="shared" si="23"/>
        <v>108.53217653220983</v>
      </c>
      <c r="BA44" s="38">
        <v>106.075</v>
      </c>
      <c r="BB44" s="13">
        <v>114.71876829099789</v>
      </c>
      <c r="BC44" s="13">
        <v>109.93695062707049</v>
      </c>
      <c r="BD44" s="13">
        <v>101.9509991302956</v>
      </c>
      <c r="BE44" s="13">
        <v>96.647440016297921</v>
      </c>
      <c r="BF44" s="13">
        <v>111.6576944841088</v>
      </c>
      <c r="BG44" s="13">
        <v>108.6127472848862</v>
      </c>
      <c r="BH44" s="13">
        <v>105.79000022601738</v>
      </c>
      <c r="BI44" s="13">
        <v>111.87951178479145</v>
      </c>
      <c r="BJ44" s="13">
        <v>117.74455711092122</v>
      </c>
      <c r="BK44" s="49">
        <v>99.882035392622001</v>
      </c>
      <c r="BL44" s="49">
        <v>94.281999999999996</v>
      </c>
      <c r="BM44" s="49">
        <v>112.63200000000001</v>
      </c>
      <c r="BN44" s="49">
        <v>99.336433831305897</v>
      </c>
      <c r="BO44" s="49">
        <v>88.215999999999994</v>
      </c>
      <c r="BP44" s="49">
        <v>122.48</v>
      </c>
      <c r="BQ44" s="49">
        <v>143.81100000000001</v>
      </c>
      <c r="BR44" s="49">
        <v>86.873999999999995</v>
      </c>
      <c r="BS44" s="49">
        <v>64.581000000000003</v>
      </c>
      <c r="BT44" s="49">
        <v>136.09800000000001</v>
      </c>
      <c r="BU44" s="49">
        <v>197.90100000000001</v>
      </c>
      <c r="BV44" s="49">
        <v>156.797</v>
      </c>
      <c r="BW44" s="49">
        <v>99.323999999999998</v>
      </c>
      <c r="BX44" s="49">
        <v>117.617</v>
      </c>
      <c r="BY44" s="49">
        <v>99.734999999999999</v>
      </c>
      <c r="BZ44" s="49">
        <v>146.452</v>
      </c>
      <c r="CA44" s="49">
        <v>138.63800000000001</v>
      </c>
      <c r="CB44" s="49">
        <v>147.97499999999999</v>
      </c>
      <c r="CC44" s="49">
        <v>137.88</v>
      </c>
      <c r="CD44" s="49">
        <v>144.334</v>
      </c>
      <c r="CE44" s="49">
        <v>125.21</v>
      </c>
      <c r="CF44" s="49">
        <v>156.86500000000001</v>
      </c>
      <c r="CG44" s="49">
        <v>154.31700000000001</v>
      </c>
      <c r="CH44" s="49">
        <v>127.374</v>
      </c>
      <c r="CI44" s="49">
        <v>134.62</v>
      </c>
      <c r="CJ44" s="49">
        <v>113.175</v>
      </c>
    </row>
    <row r="45" spans="1:88" ht="20.149999999999999" customHeight="1" x14ac:dyDescent="0.25">
      <c r="A45" s="12" t="s">
        <v>38</v>
      </c>
      <c r="B45" s="49">
        <v>31.812416962572197</v>
      </c>
      <c r="C45" s="49">
        <v>23.894691431755618</v>
      </c>
      <c r="D45" s="49">
        <v>25.854223141104249</v>
      </c>
      <c r="E45" s="49">
        <v>20.1247189596656</v>
      </c>
      <c r="F45" s="49">
        <v>9.9314882913699751</v>
      </c>
      <c r="G45" s="49">
        <v>32.729674540668817</v>
      </c>
      <c r="H45" s="49">
        <v>19.093737105566063</v>
      </c>
      <c r="I45" s="49">
        <v>14.403364759613025</v>
      </c>
      <c r="J45" s="49">
        <v>17.111249127453483</v>
      </c>
      <c r="K45" s="49">
        <v>25.94230151475379</v>
      </c>
      <c r="L45" s="13">
        <v>19.161659853994681</v>
      </c>
      <c r="M45" s="13">
        <v>9.6659086319188834</v>
      </c>
      <c r="N45" s="13">
        <v>20.042684237749068</v>
      </c>
      <c r="O45" s="13">
        <v>23.598548127477166</v>
      </c>
      <c r="P45" s="13">
        <v>18.929431982494197</v>
      </c>
      <c r="Q45" s="13">
        <v>36.924290332576554</v>
      </c>
      <c r="R45" s="56">
        <f t="shared" si="20"/>
        <v>45.395300472229081</v>
      </c>
      <c r="S45" s="14">
        <v>53.866310611881602</v>
      </c>
      <c r="T45" s="13">
        <v>63.085422603710228</v>
      </c>
      <c r="U45" s="13">
        <v>53.076481942252684</v>
      </c>
      <c r="V45" s="13">
        <v>82.206745693178092</v>
      </c>
      <c r="W45" s="13">
        <v>36.816047822176436</v>
      </c>
      <c r="X45" s="13">
        <v>28.159803930048696</v>
      </c>
      <c r="Y45" s="13">
        <v>34.663446198369499</v>
      </c>
      <c r="Z45" s="13">
        <v>67.869288168665094</v>
      </c>
      <c r="AA45" s="13">
        <v>82.246546539513162</v>
      </c>
      <c r="AB45" s="13">
        <v>55.577305125058786</v>
      </c>
      <c r="AC45" s="13">
        <v>47.038324597046184</v>
      </c>
      <c r="AD45" s="13">
        <v>54.715411046880298</v>
      </c>
      <c r="AE45" s="13">
        <v>72.873325985360083</v>
      </c>
      <c r="AF45" s="13">
        <v>58.493714890154251</v>
      </c>
      <c r="AG45" s="13">
        <v>61.987313658580725</v>
      </c>
      <c r="AH45" s="13">
        <v>65.713134789737538</v>
      </c>
      <c r="AI45" s="13">
        <v>64.113702897044817</v>
      </c>
      <c r="AJ45" s="13">
        <v>84.643275851577982</v>
      </c>
      <c r="AK45" s="13">
        <v>77.099006591844756</v>
      </c>
      <c r="AL45" s="13">
        <v>58.781237262074654</v>
      </c>
      <c r="AM45" s="13">
        <v>73.325467629339897</v>
      </c>
      <c r="AN45" s="13">
        <v>68.750534261849182</v>
      </c>
      <c r="AO45" s="13">
        <v>70.877297851678733</v>
      </c>
      <c r="AP45" s="13">
        <v>108.24802778774659</v>
      </c>
      <c r="AQ45" s="13">
        <v>117.82541285643214</v>
      </c>
      <c r="AR45" s="13">
        <v>82.688590826541827</v>
      </c>
      <c r="AS45" s="13">
        <v>75.227986653807321</v>
      </c>
      <c r="AT45" s="13">
        <v>87.369359835072771</v>
      </c>
      <c r="AU45" s="13">
        <v>75.791374571290234</v>
      </c>
      <c r="AV45" s="13">
        <v>90.17078155317526</v>
      </c>
      <c r="AW45" s="13">
        <v>90.348987865407821</v>
      </c>
      <c r="AX45" s="56">
        <f t="shared" si="21"/>
        <v>117.84149393270391</v>
      </c>
      <c r="AY45" s="56">
        <f t="shared" si="22"/>
        <v>131.58774696635197</v>
      </c>
      <c r="AZ45" s="56">
        <f t="shared" si="23"/>
        <v>138.46087348317599</v>
      </c>
      <c r="BA45" s="37">
        <v>145.334</v>
      </c>
      <c r="BB45" s="13">
        <v>183.87847453158446</v>
      </c>
      <c r="BC45" s="13">
        <v>131.27251408923118</v>
      </c>
      <c r="BD45" s="13">
        <v>243.85075620999552</v>
      </c>
      <c r="BE45" s="13">
        <v>148.46911548084657</v>
      </c>
      <c r="BF45" s="13">
        <v>176.0281824464906</v>
      </c>
      <c r="BG45" s="13">
        <v>157.38996894625939</v>
      </c>
      <c r="BH45" s="13">
        <v>202.08947817032896</v>
      </c>
      <c r="BI45" s="13">
        <v>222.95923733514348</v>
      </c>
      <c r="BJ45" s="13">
        <v>231.59757321189304</v>
      </c>
      <c r="BK45" s="49">
        <v>187.87327949991658</v>
      </c>
      <c r="BL45" s="49">
        <v>155.84299999999999</v>
      </c>
      <c r="BM45" s="49">
        <v>121.706</v>
      </c>
      <c r="BN45" s="49">
        <v>111.77421086628779</v>
      </c>
      <c r="BO45" s="49">
        <v>158.376</v>
      </c>
      <c r="BP45" s="49">
        <v>109.694</v>
      </c>
      <c r="BQ45" s="49">
        <v>110.70699999999999</v>
      </c>
      <c r="BR45" s="49">
        <v>126.82299999999999</v>
      </c>
      <c r="BS45" s="49">
        <v>142.28800000000001</v>
      </c>
      <c r="BT45" s="49">
        <v>136.953</v>
      </c>
      <c r="BU45" s="49">
        <v>157.87100000000001</v>
      </c>
      <c r="BV45" s="49">
        <v>226.33099999999999</v>
      </c>
      <c r="BW45" s="49">
        <v>133.34200000000001</v>
      </c>
      <c r="BX45" s="49">
        <v>206.98099999999999</v>
      </c>
      <c r="BY45" s="49">
        <v>201.43899999999999</v>
      </c>
      <c r="BZ45" s="49">
        <v>186.76499999999999</v>
      </c>
      <c r="CA45" s="49">
        <v>135.33799999999999</v>
      </c>
      <c r="CB45" s="49">
        <v>143.56</v>
      </c>
      <c r="CC45" s="49">
        <v>112.813</v>
      </c>
      <c r="CD45" s="49">
        <v>141.08799999999999</v>
      </c>
      <c r="CE45" s="49">
        <v>120.813</v>
      </c>
      <c r="CF45" s="49">
        <v>180.15600000000001</v>
      </c>
      <c r="CG45" s="49">
        <v>144.09</v>
      </c>
      <c r="CH45" s="49">
        <v>69.81</v>
      </c>
      <c r="CI45" s="49">
        <v>119.67100000000001</v>
      </c>
      <c r="CJ45" s="49">
        <v>105.735</v>
      </c>
    </row>
    <row r="46" spans="1:88" ht="20.149999999999999" customHeight="1" thickBot="1" x14ac:dyDescent="0.3">
      <c r="A46" s="15" t="s">
        <v>39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40"/>
      <c r="S46" s="15"/>
      <c r="T46" s="15"/>
      <c r="U46" s="15"/>
      <c r="V46" s="15"/>
      <c r="W46" s="15"/>
      <c r="X46" s="15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40"/>
      <c r="AY46" s="40"/>
      <c r="AZ46" s="40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</row>
    <row r="47" spans="1:88" ht="20.149999999999999" customHeight="1" x14ac:dyDescent="0.25">
      <c r="A47" s="12" t="s">
        <v>40</v>
      </c>
      <c r="B47" s="49">
        <v>4223.1455677849308</v>
      </c>
      <c r="C47" s="49">
        <v>4348.6570160012416</v>
      </c>
      <c r="D47" s="49">
        <v>4319.5237056501383</v>
      </c>
      <c r="E47" s="49">
        <v>4377.6852805822291</v>
      </c>
      <c r="F47" s="49">
        <v>4466.4852419807557</v>
      </c>
      <c r="G47" s="49">
        <v>4493.8112557972572</v>
      </c>
      <c r="H47" s="49">
        <v>4430.050554145987</v>
      </c>
      <c r="I47" s="49">
        <v>4428.5397745500122</v>
      </c>
      <c r="J47" s="49">
        <v>4588.496158675327</v>
      </c>
      <c r="K47" s="49">
        <v>4546.9625774469196</v>
      </c>
      <c r="L47" s="13">
        <v>4399.3954866426529</v>
      </c>
      <c r="M47" s="13">
        <v>4643.6193586915451</v>
      </c>
      <c r="N47" s="13">
        <v>4567.1718830312002</v>
      </c>
      <c r="O47" s="13">
        <v>4667.8528982091366</v>
      </c>
      <c r="P47" s="13">
        <v>4597.2252449219195</v>
      </c>
      <c r="Q47" s="13">
        <v>4570.8019697133559</v>
      </c>
      <c r="R47" s="56">
        <f t="shared" ref="R47:R50" si="24">+(Q47+S47)/2</f>
        <v>4592.2872862803179</v>
      </c>
      <c r="S47" s="14">
        <v>4613.7726028472789</v>
      </c>
      <c r="T47" s="13">
        <v>4491.7365162622018</v>
      </c>
      <c r="U47" s="13">
        <v>4640.5116469227687</v>
      </c>
      <c r="V47" s="13">
        <v>4673.8514147190781</v>
      </c>
      <c r="W47" s="13">
        <v>4650.9233092982486</v>
      </c>
      <c r="X47" s="13">
        <v>4711.6983121566764</v>
      </c>
      <c r="Y47" s="13">
        <v>4764.2333628591014</v>
      </c>
      <c r="Z47" s="13">
        <v>4750.8532264132609</v>
      </c>
      <c r="AA47" s="13">
        <v>4894.5784558346022</v>
      </c>
      <c r="AB47" s="13">
        <v>4739.2593775981441</v>
      </c>
      <c r="AC47" s="13">
        <v>4793.5565648454622</v>
      </c>
      <c r="AD47" s="13">
        <v>4825.2501005584745</v>
      </c>
      <c r="AE47" s="13">
        <v>4621.0628167944678</v>
      </c>
      <c r="AF47" s="13">
        <v>4680.6848029673638</v>
      </c>
      <c r="AG47" s="13">
        <v>4887.6690784278308</v>
      </c>
      <c r="AH47" s="13">
        <v>4775.2920181730142</v>
      </c>
      <c r="AI47" s="13">
        <v>4688.2738612947624</v>
      </c>
      <c r="AJ47" s="13">
        <v>4625.1560100715433</v>
      </c>
      <c r="AK47" s="13">
        <v>4815.9728975616172</v>
      </c>
      <c r="AL47" s="13">
        <v>4924.6015081587675</v>
      </c>
      <c r="AM47" s="13">
        <v>4866.8449959331274</v>
      </c>
      <c r="AN47" s="13">
        <v>4745.4468429455628</v>
      </c>
      <c r="AO47" s="13">
        <v>5051.851643907371</v>
      </c>
      <c r="AP47" s="13">
        <v>4950.5408669089493</v>
      </c>
      <c r="AQ47" s="13">
        <v>4898.409109741001</v>
      </c>
      <c r="AR47" s="13">
        <v>4708.3966905029729</v>
      </c>
      <c r="AS47" s="13">
        <v>4764.6317902015626</v>
      </c>
      <c r="AT47" s="13">
        <v>4817.8180258842422</v>
      </c>
      <c r="AU47" s="13">
        <v>4919.9355324151802</v>
      </c>
      <c r="AV47" s="13">
        <v>4642.2402355094619</v>
      </c>
      <c r="AW47" s="13">
        <v>4688.8444261060622</v>
      </c>
      <c r="AX47" s="56">
        <f t="shared" ref="AX47:AX50" si="25">+(AW47+BA47)/2</f>
        <v>4838.907017030082</v>
      </c>
      <c r="AY47" s="56">
        <f t="shared" ref="AY47:AY50" si="26">+(AX47+BA47)/2</f>
        <v>4913.9383124920914</v>
      </c>
      <c r="AZ47" s="56">
        <f t="shared" ref="AZ47:AZ50" si="27">+(AY47+BA47)/2</f>
        <v>4951.4539602230961</v>
      </c>
      <c r="BA47" s="34">
        <v>4988.9696079541018</v>
      </c>
      <c r="BB47" s="13">
        <v>5108.7453174514449</v>
      </c>
      <c r="BC47" s="13">
        <v>5039.2656210140231</v>
      </c>
      <c r="BD47" s="13">
        <v>5055.9179443471894</v>
      </c>
      <c r="BE47" s="13">
        <v>4993.3583996931402</v>
      </c>
      <c r="BF47" s="13">
        <v>5241.8781788868382</v>
      </c>
      <c r="BG47" s="13">
        <v>5361.7495022314724</v>
      </c>
      <c r="BH47" s="13">
        <v>5189.2931512113437</v>
      </c>
      <c r="BI47" s="13">
        <v>5324.3306111635711</v>
      </c>
      <c r="BJ47" s="13">
        <v>5425.4004473851865</v>
      </c>
      <c r="BK47" s="49">
        <v>5439.9682300728691</v>
      </c>
      <c r="BL47" s="49">
        <v>5319.2439999999997</v>
      </c>
      <c r="BM47" s="49">
        <v>5489.9110000000001</v>
      </c>
      <c r="BN47" s="49">
        <v>5644.9455872197977</v>
      </c>
      <c r="BO47" s="49">
        <v>5658.7960000000003</v>
      </c>
      <c r="BP47" s="49">
        <v>5483.018</v>
      </c>
      <c r="BQ47" s="49">
        <v>3715.7669999999998</v>
      </c>
      <c r="BR47" s="49">
        <v>4825.0349999999999</v>
      </c>
      <c r="BS47" s="49">
        <v>5501.2709999999997</v>
      </c>
      <c r="BT47" s="49">
        <v>5370.9790000000003</v>
      </c>
      <c r="BU47" s="49">
        <v>5261.451</v>
      </c>
      <c r="BV47" s="49">
        <v>5474.5309999999999</v>
      </c>
      <c r="BW47" s="49">
        <v>5492.9939999999997</v>
      </c>
      <c r="BX47" s="49">
        <v>5577.7030000000004</v>
      </c>
      <c r="BY47" s="49">
        <v>5745.3360000000002</v>
      </c>
      <c r="BZ47" s="49">
        <v>5658.5429999999997</v>
      </c>
      <c r="CA47" s="49">
        <v>5484.81</v>
      </c>
      <c r="CB47" s="49">
        <v>5642.6350000000002</v>
      </c>
      <c r="CC47" s="49">
        <v>5741.5360000000001</v>
      </c>
      <c r="CD47" s="49">
        <v>5747.7820000000002</v>
      </c>
      <c r="CE47" s="49">
        <v>5976.2539999999999</v>
      </c>
      <c r="CF47" s="49">
        <v>5626.4539999999997</v>
      </c>
      <c r="CG47" s="49">
        <v>5886.8360000000002</v>
      </c>
      <c r="CH47" s="49">
        <v>6133.3739999999998</v>
      </c>
      <c r="CI47" s="49">
        <v>6168.9870000000001</v>
      </c>
      <c r="CJ47" s="49">
        <v>5971.2020000000002</v>
      </c>
    </row>
    <row r="48" spans="1:88" ht="20.149999999999999" customHeight="1" x14ac:dyDescent="0.25">
      <c r="A48" s="12" t="s">
        <v>41</v>
      </c>
      <c r="B48" s="49">
        <v>1825.3534324404106</v>
      </c>
      <c r="C48" s="49">
        <v>1776.3126420210124</v>
      </c>
      <c r="D48" s="49">
        <v>1918.1042091253528</v>
      </c>
      <c r="E48" s="49">
        <v>1956.1200359617862</v>
      </c>
      <c r="F48" s="49">
        <v>1909.3732295607651</v>
      </c>
      <c r="G48" s="49">
        <v>2080.751912497687</v>
      </c>
      <c r="H48" s="49">
        <v>1986.5918413529257</v>
      </c>
      <c r="I48" s="49">
        <v>2070.1448205493116</v>
      </c>
      <c r="J48" s="49">
        <v>2153.2705977238393</v>
      </c>
      <c r="K48" s="49">
        <v>2291.34945467223</v>
      </c>
      <c r="L48" s="13">
        <v>2304.7562166719017</v>
      </c>
      <c r="M48" s="13">
        <v>2307.602946192178</v>
      </c>
      <c r="N48" s="13">
        <v>2368.9531730622498</v>
      </c>
      <c r="O48" s="13">
        <v>2434.0619907678124</v>
      </c>
      <c r="P48" s="13">
        <v>2538.4117353142437</v>
      </c>
      <c r="Q48" s="13">
        <v>2511.1382285415693</v>
      </c>
      <c r="R48" s="56">
        <f t="shared" si="24"/>
        <v>2427.3284945151581</v>
      </c>
      <c r="S48" s="14">
        <v>2343.5187604887465</v>
      </c>
      <c r="T48" s="13">
        <v>2487.8566565977158</v>
      </c>
      <c r="U48" s="13">
        <v>2446.4143664326866</v>
      </c>
      <c r="V48" s="13">
        <v>2415.7887494762413</v>
      </c>
      <c r="W48" s="13">
        <v>2699.6228788207181</v>
      </c>
      <c r="X48" s="13">
        <v>2587.7739281730765</v>
      </c>
      <c r="Y48" s="13">
        <v>2476.190226538673</v>
      </c>
      <c r="Z48" s="13">
        <v>2503.6859850275937</v>
      </c>
      <c r="AA48" s="13">
        <v>2502.517833848965</v>
      </c>
      <c r="AB48" s="13">
        <v>2615.8592507630874</v>
      </c>
      <c r="AC48" s="13">
        <v>2571.9776292945435</v>
      </c>
      <c r="AD48" s="13">
        <v>2594.7828495355939</v>
      </c>
      <c r="AE48" s="13">
        <v>2669.6540330647231</v>
      </c>
      <c r="AF48" s="13">
        <v>2702.9705980254321</v>
      </c>
      <c r="AG48" s="13">
        <v>2624.9163159016894</v>
      </c>
      <c r="AH48" s="13">
        <v>2762.4533468858917</v>
      </c>
      <c r="AI48" s="13">
        <v>2734.9060348637468</v>
      </c>
      <c r="AJ48" s="13">
        <v>2630.7066820776508</v>
      </c>
      <c r="AK48" s="13">
        <v>2622.4612782285899</v>
      </c>
      <c r="AL48" s="13">
        <v>2605.0855008085578</v>
      </c>
      <c r="AM48" s="13">
        <v>2618.7718429420238</v>
      </c>
      <c r="AN48" s="13">
        <v>2508.9473057511404</v>
      </c>
      <c r="AO48" s="13">
        <v>2484.4701362613318</v>
      </c>
      <c r="AP48" s="13">
        <v>2570.4228680518586</v>
      </c>
      <c r="AQ48" s="13">
        <v>2443.4396521966332</v>
      </c>
      <c r="AR48" s="13">
        <v>2547.9058207721632</v>
      </c>
      <c r="AS48" s="13">
        <v>2434.7406173937766</v>
      </c>
      <c r="AT48" s="13">
        <v>2433.6905648840579</v>
      </c>
      <c r="AU48" s="13">
        <v>2504.7117881169447</v>
      </c>
      <c r="AV48" s="13">
        <v>2536.9331607725862</v>
      </c>
      <c r="AW48" s="13">
        <v>2493.1085930644199</v>
      </c>
      <c r="AX48" s="56">
        <f t="shared" si="25"/>
        <v>2600.0879322461451</v>
      </c>
      <c r="AY48" s="56">
        <f t="shared" si="26"/>
        <v>2653.5776018370079</v>
      </c>
      <c r="AZ48" s="56">
        <f t="shared" si="27"/>
        <v>2680.3224366324393</v>
      </c>
      <c r="BA48" s="34">
        <v>2707.0672714278703</v>
      </c>
      <c r="BB48" s="13">
        <v>2595.3576015281519</v>
      </c>
      <c r="BC48" s="13">
        <v>2645.2636945726763</v>
      </c>
      <c r="BD48" s="13">
        <v>2529.2056195924511</v>
      </c>
      <c r="BE48" s="13">
        <v>2756.9510165023371</v>
      </c>
      <c r="BF48" s="13">
        <v>2827.9197856313958</v>
      </c>
      <c r="BG48" s="13">
        <v>2831.2550457742614</v>
      </c>
      <c r="BH48" s="13">
        <v>2703.0945340333146</v>
      </c>
      <c r="BI48" s="13">
        <v>2735.976111900974</v>
      </c>
      <c r="BJ48" s="13">
        <v>2734.8649107210194</v>
      </c>
      <c r="BK48" s="49">
        <v>2638.7702856895062</v>
      </c>
      <c r="BL48" s="49">
        <v>2664.4389999999999</v>
      </c>
      <c r="BM48" s="49">
        <v>2707.011</v>
      </c>
      <c r="BN48" s="49">
        <v>2612.1255668543895</v>
      </c>
      <c r="BO48" s="49">
        <v>2587.4780000000001</v>
      </c>
      <c r="BP48" s="49">
        <v>2536.1120000000001</v>
      </c>
      <c r="BQ48" s="49">
        <v>1979.0229999999999</v>
      </c>
      <c r="BR48" s="49">
        <v>2174.1460000000002</v>
      </c>
      <c r="BS48" s="49">
        <v>2237.1379999999999</v>
      </c>
      <c r="BT48" s="49">
        <v>2330.5070000000001</v>
      </c>
      <c r="BU48" s="49">
        <v>2323.9499999999998</v>
      </c>
      <c r="BV48" s="49">
        <v>2502.3180000000002</v>
      </c>
      <c r="BW48" s="49">
        <v>2740.116</v>
      </c>
      <c r="BX48" s="49">
        <v>2626.5630000000001</v>
      </c>
      <c r="BY48" s="49">
        <v>2563.482</v>
      </c>
      <c r="BZ48" s="49">
        <v>2604.0749999999998</v>
      </c>
      <c r="CA48" s="49">
        <v>2723.6</v>
      </c>
      <c r="CB48" s="49">
        <v>2817.884</v>
      </c>
      <c r="CC48" s="49">
        <v>2736.6419999999998</v>
      </c>
      <c r="CD48" s="49">
        <v>2852.7080000000001</v>
      </c>
      <c r="CE48" s="49">
        <v>2920.8989999999999</v>
      </c>
      <c r="CF48" s="49">
        <v>2918.212</v>
      </c>
      <c r="CG48" s="49">
        <v>2936.5169999999998</v>
      </c>
      <c r="CH48" s="49">
        <v>2800.9070000000002</v>
      </c>
      <c r="CI48" s="49">
        <v>2929.623</v>
      </c>
      <c r="CJ48" s="49">
        <v>2996.8020000000001</v>
      </c>
    </row>
    <row r="49" spans="1:88" ht="20.149999999999999" customHeight="1" x14ac:dyDescent="0.25">
      <c r="A49" s="12" t="s">
        <v>42</v>
      </c>
      <c r="B49" s="49">
        <v>1808.6897371077334</v>
      </c>
      <c r="C49" s="49">
        <v>1936.4567684176714</v>
      </c>
      <c r="D49" s="49">
        <v>1953.2548924019272</v>
      </c>
      <c r="E49" s="49">
        <v>1947.2772947191893</v>
      </c>
      <c r="F49" s="49">
        <v>2045.5032352250116</v>
      </c>
      <c r="G49" s="49">
        <v>2009.3828120673529</v>
      </c>
      <c r="H49" s="49">
        <v>2106.8316919716244</v>
      </c>
      <c r="I49" s="49">
        <v>2103.8800115226991</v>
      </c>
      <c r="J49" s="49">
        <v>2237.5587000247574</v>
      </c>
      <c r="K49" s="49">
        <v>2293.1732907357741</v>
      </c>
      <c r="L49" s="13">
        <v>2318.019303810931</v>
      </c>
      <c r="M49" s="13">
        <v>2405.8005827612624</v>
      </c>
      <c r="N49" s="13">
        <v>2471.5994687006951</v>
      </c>
      <c r="O49" s="13">
        <v>2381.1806908236576</v>
      </c>
      <c r="P49" s="13">
        <v>2385.7337445775261</v>
      </c>
      <c r="Q49" s="13">
        <v>2477.5697715867173</v>
      </c>
      <c r="R49" s="56">
        <f t="shared" si="24"/>
        <v>2414.7936394045832</v>
      </c>
      <c r="S49" s="14">
        <v>2352.0175072224492</v>
      </c>
      <c r="T49" s="13">
        <v>2472.446539041196</v>
      </c>
      <c r="U49" s="13">
        <v>2518.801539029751</v>
      </c>
      <c r="V49" s="13">
        <v>2475.3962856125813</v>
      </c>
      <c r="W49" s="13">
        <v>2799.7965395732172</v>
      </c>
      <c r="X49" s="13">
        <v>2812.7948717969825</v>
      </c>
      <c r="Y49" s="13">
        <v>2742.4288821021341</v>
      </c>
      <c r="Z49" s="13">
        <v>2651.3589097600411</v>
      </c>
      <c r="AA49" s="13">
        <v>2779.4694299849612</v>
      </c>
      <c r="AB49" s="13">
        <v>2772.1606600538134</v>
      </c>
      <c r="AC49" s="13">
        <v>2757.8254379084542</v>
      </c>
      <c r="AD49" s="13">
        <v>2819.7632480878483</v>
      </c>
      <c r="AE49" s="13">
        <v>2952.1546933512709</v>
      </c>
      <c r="AF49" s="13">
        <v>2883.6686418781651</v>
      </c>
      <c r="AG49" s="13">
        <v>2985.2375047340693</v>
      </c>
      <c r="AH49" s="13">
        <v>2939.2117630632174</v>
      </c>
      <c r="AI49" s="13">
        <v>3048.6175017513251</v>
      </c>
      <c r="AJ49" s="13">
        <v>3001.4485882768849</v>
      </c>
      <c r="AK49" s="13">
        <v>2886.4608293066012</v>
      </c>
      <c r="AL49" s="13">
        <v>2980.0753503221304</v>
      </c>
      <c r="AM49" s="13">
        <v>3017.3056627956585</v>
      </c>
      <c r="AN49" s="13">
        <v>3099.5010204323457</v>
      </c>
      <c r="AO49" s="13">
        <v>3004.3625463549461</v>
      </c>
      <c r="AP49" s="13">
        <v>2977.0514348552365</v>
      </c>
      <c r="AQ49" s="13">
        <v>3013.483321746874</v>
      </c>
      <c r="AR49" s="13">
        <v>2965.4020184030373</v>
      </c>
      <c r="AS49" s="13">
        <v>3058.5680206601492</v>
      </c>
      <c r="AT49" s="13">
        <v>2995.5216242466199</v>
      </c>
      <c r="AU49" s="13">
        <v>3111.1639675608367</v>
      </c>
      <c r="AV49" s="13">
        <v>3032.7335560545853</v>
      </c>
      <c r="AW49" s="13">
        <v>2994.0536943803377</v>
      </c>
      <c r="AX49" s="56">
        <f t="shared" si="25"/>
        <v>2931.4375588012072</v>
      </c>
      <c r="AY49" s="56">
        <f t="shared" si="26"/>
        <v>2900.1294910116417</v>
      </c>
      <c r="AZ49" s="56">
        <f t="shared" si="27"/>
        <v>2884.4754571168587</v>
      </c>
      <c r="BA49" s="34">
        <v>2868.8214232220762</v>
      </c>
      <c r="BB49" s="13">
        <v>2925.2945055579598</v>
      </c>
      <c r="BC49" s="13">
        <v>2959.157635759354</v>
      </c>
      <c r="BD49" s="13">
        <v>2993.8082378682079</v>
      </c>
      <c r="BE49" s="13">
        <v>2948.0564921007963</v>
      </c>
      <c r="BF49" s="13">
        <v>2960.3060628590479</v>
      </c>
      <c r="BG49" s="13">
        <v>3139.0885055119288</v>
      </c>
      <c r="BH49" s="13">
        <v>3085.6661056842422</v>
      </c>
      <c r="BI49" s="13">
        <v>3054.0773498627746</v>
      </c>
      <c r="BJ49" s="13">
        <v>2983.8380517163528</v>
      </c>
      <c r="BK49" s="49">
        <v>2932.3604339782037</v>
      </c>
      <c r="BL49" s="49">
        <v>2985.6170000000002</v>
      </c>
      <c r="BM49" s="49">
        <v>3039.8670000000002</v>
      </c>
      <c r="BN49" s="49">
        <v>3177.9646007671336</v>
      </c>
      <c r="BO49" s="49">
        <v>3116.39</v>
      </c>
      <c r="BP49" s="49">
        <v>3179.2570000000001</v>
      </c>
      <c r="BQ49" s="49">
        <v>3137.9810000000002</v>
      </c>
      <c r="BR49" s="49">
        <v>3041.8119999999999</v>
      </c>
      <c r="BS49" s="49">
        <v>3046.5050000000001</v>
      </c>
      <c r="BT49" s="49">
        <v>3432.009</v>
      </c>
      <c r="BU49" s="49">
        <v>3504.6379999999999</v>
      </c>
      <c r="BV49" s="49">
        <v>3186.6849999999999</v>
      </c>
      <c r="BW49" s="49">
        <v>3305.2310000000002</v>
      </c>
      <c r="BX49" s="49">
        <v>3160.875</v>
      </c>
      <c r="BY49" s="49">
        <v>3329.1849999999999</v>
      </c>
      <c r="BZ49" s="49">
        <v>3230.1680000000001</v>
      </c>
      <c r="CA49" s="49">
        <v>3336.4560000000001</v>
      </c>
      <c r="CB49" s="49">
        <v>3370.8270000000002</v>
      </c>
      <c r="CC49" s="49">
        <v>3231.5929999999998</v>
      </c>
      <c r="CD49" s="49">
        <v>3454.7150000000001</v>
      </c>
      <c r="CE49" s="49">
        <v>3412.694</v>
      </c>
      <c r="CF49" s="49">
        <v>3390.7350000000001</v>
      </c>
      <c r="CG49" s="49">
        <v>3402.7089999999998</v>
      </c>
      <c r="CH49" s="49">
        <v>3507.3449999999998</v>
      </c>
      <c r="CI49" s="49">
        <v>3502.6909999999998</v>
      </c>
      <c r="CJ49" s="49">
        <v>3320.7240000000002</v>
      </c>
    </row>
    <row r="50" spans="1:88" ht="20.149999999999999" customHeight="1" x14ac:dyDescent="0.25">
      <c r="A50" s="12" t="s">
        <v>38</v>
      </c>
      <c r="B50" s="49">
        <v>571.47204408035145</v>
      </c>
      <c r="C50" s="49">
        <v>580.87178835331486</v>
      </c>
      <c r="D50" s="49">
        <v>483.79408813467558</v>
      </c>
      <c r="E50" s="49">
        <v>572.77975789760114</v>
      </c>
      <c r="F50" s="49">
        <v>601.27254952802878</v>
      </c>
      <c r="G50" s="49">
        <v>580.97315372687137</v>
      </c>
      <c r="H50" s="49">
        <v>561.53799829643822</v>
      </c>
      <c r="I50" s="49">
        <v>592.15898484936804</v>
      </c>
      <c r="J50" s="49">
        <v>554.10097570137395</v>
      </c>
      <c r="K50" s="49">
        <v>543.63422555288696</v>
      </c>
      <c r="L50" s="13">
        <v>537.78460605185319</v>
      </c>
      <c r="M50" s="13">
        <v>488.74954610606511</v>
      </c>
      <c r="N50" s="13">
        <v>500.13899817316889</v>
      </c>
      <c r="O50" s="13">
        <v>609.162556288068</v>
      </c>
      <c r="P50" s="13">
        <v>534.67145926307649</v>
      </c>
      <c r="Q50" s="13">
        <v>658.73743807525386</v>
      </c>
      <c r="R50" s="56">
        <f t="shared" si="24"/>
        <v>805.06167083942717</v>
      </c>
      <c r="S50" s="14">
        <v>951.38590360360047</v>
      </c>
      <c r="T50" s="13">
        <v>826.68639799267316</v>
      </c>
      <c r="U50" s="13">
        <v>758.14002971072739</v>
      </c>
      <c r="V50" s="13">
        <v>783.91103401638861</v>
      </c>
      <c r="W50" s="13">
        <v>459.48525346535155</v>
      </c>
      <c r="X50" s="13">
        <v>475.94434739540077</v>
      </c>
      <c r="Y50" s="13">
        <v>547.61073526948053</v>
      </c>
      <c r="Z50" s="13">
        <v>566.24262686566897</v>
      </c>
      <c r="AA50" s="13">
        <v>473.16372805192805</v>
      </c>
      <c r="AB50" s="13">
        <v>498.05717593107596</v>
      </c>
      <c r="AC50" s="13">
        <v>572.92084855414646</v>
      </c>
      <c r="AD50" s="13">
        <v>494.20661192490269</v>
      </c>
      <c r="AE50" s="13">
        <v>503.98871713506168</v>
      </c>
      <c r="AF50" s="13">
        <v>484.99772731176819</v>
      </c>
      <c r="AG50" s="13">
        <v>501.91772030533934</v>
      </c>
      <c r="AH50" s="13">
        <v>609.66501803917754</v>
      </c>
      <c r="AI50" s="13">
        <v>556.2346295404659</v>
      </c>
      <c r="AJ50" s="13">
        <v>632.34751556934043</v>
      </c>
      <c r="AK50" s="13">
        <v>741.96136402467221</v>
      </c>
      <c r="AL50" s="13">
        <v>705.34196483609969</v>
      </c>
      <c r="AM50" s="13">
        <v>706.44998198245753</v>
      </c>
      <c r="AN50" s="13">
        <v>630.65080844736315</v>
      </c>
      <c r="AO50" s="13">
        <v>710.82251715297593</v>
      </c>
      <c r="AP50" s="13">
        <v>755.64725723895378</v>
      </c>
      <c r="AQ50" s="13">
        <v>866.27481120111099</v>
      </c>
      <c r="AR50" s="13">
        <v>787.83481563847829</v>
      </c>
      <c r="AS50" s="13">
        <v>642.29837290915657</v>
      </c>
      <c r="AT50" s="13">
        <v>686.41257111610594</v>
      </c>
      <c r="AU50" s="13">
        <v>604.09562323307125</v>
      </c>
      <c r="AV50" s="13">
        <v>798.48012749490169</v>
      </c>
      <c r="AW50" s="13">
        <v>884.49249026213295</v>
      </c>
      <c r="AX50" s="56">
        <f t="shared" si="25"/>
        <v>859.14388729220423</v>
      </c>
      <c r="AY50" s="56">
        <f t="shared" si="26"/>
        <v>846.46958580723981</v>
      </c>
      <c r="AZ50" s="56">
        <f t="shared" si="27"/>
        <v>840.1324350647576</v>
      </c>
      <c r="BA50" s="34">
        <v>833.79528432227539</v>
      </c>
      <c r="BB50" s="13">
        <v>984.8199313283618</v>
      </c>
      <c r="BC50" s="13">
        <v>953.06282706182367</v>
      </c>
      <c r="BD50" s="13">
        <v>881.88969409999993</v>
      </c>
      <c r="BE50" s="13">
        <v>812.68146776042715</v>
      </c>
      <c r="BF50" s="13">
        <v>780.41283241954238</v>
      </c>
      <c r="BG50" s="13">
        <v>676.73680827500709</v>
      </c>
      <c r="BH50" s="13">
        <v>888.32716469844922</v>
      </c>
      <c r="BI50" s="13">
        <v>643.21434226141525</v>
      </c>
      <c r="BJ50" s="13">
        <v>793.77565277708447</v>
      </c>
      <c r="BK50" s="49">
        <v>897.87243733688422</v>
      </c>
      <c r="BL50" s="49">
        <v>878.35900000000004</v>
      </c>
      <c r="BM50" s="49">
        <v>729.97299999999996</v>
      </c>
      <c r="BN50" s="49">
        <v>673.99570801593723</v>
      </c>
      <c r="BO50" s="49">
        <v>779.62</v>
      </c>
      <c r="BP50" s="49">
        <v>746.67499999999995</v>
      </c>
      <c r="BQ50" s="49">
        <v>617.36099999999999</v>
      </c>
      <c r="BR50" s="49">
        <v>530.14599999999996</v>
      </c>
      <c r="BS50" s="49">
        <v>636.84299999999996</v>
      </c>
      <c r="BT50" s="49">
        <v>729.56200000000001</v>
      </c>
      <c r="BU50" s="49">
        <v>735.11500000000001</v>
      </c>
      <c r="BV50" s="49">
        <v>1059.1120000000001</v>
      </c>
      <c r="BW50" s="49">
        <v>968.11199999999997</v>
      </c>
      <c r="BX50" s="49">
        <v>1040.125</v>
      </c>
      <c r="BY50" s="49">
        <v>1157.692</v>
      </c>
      <c r="BZ50" s="49">
        <v>1218.7270000000001</v>
      </c>
      <c r="CA50" s="49">
        <v>1337.2429999999999</v>
      </c>
      <c r="CB50" s="49">
        <v>1174.046</v>
      </c>
      <c r="CC50" s="49">
        <v>1182.6980000000001</v>
      </c>
      <c r="CD50" s="49">
        <v>1137.4570000000001</v>
      </c>
      <c r="CE50" s="49">
        <v>932.85199999999998</v>
      </c>
      <c r="CF50" s="49">
        <v>946.79</v>
      </c>
      <c r="CG50" s="49">
        <v>858.85199999999998</v>
      </c>
      <c r="CH50" s="49">
        <v>750.47199999999998</v>
      </c>
      <c r="CI50" s="49">
        <v>853.68200000000002</v>
      </c>
      <c r="CJ50" s="49">
        <v>854.524</v>
      </c>
    </row>
    <row r="51" spans="1:88" ht="20.149999999999999" customHeight="1" thickBot="1" x14ac:dyDescent="0.3">
      <c r="A51" s="15" t="s">
        <v>43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40"/>
      <c r="S51" s="15"/>
      <c r="T51" s="15"/>
      <c r="U51" s="15"/>
      <c r="V51" s="15"/>
      <c r="W51" s="15"/>
      <c r="X51" s="15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40"/>
      <c r="AY51" s="40"/>
      <c r="AZ51" s="40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</row>
    <row r="52" spans="1:88" ht="20.149999999999999" customHeight="1" x14ac:dyDescent="0.25">
      <c r="A52" s="12" t="s">
        <v>44</v>
      </c>
      <c r="B52" s="49">
        <v>838.11435710655564</v>
      </c>
      <c r="C52" s="49">
        <v>861.33646091593198</v>
      </c>
      <c r="D52" s="49">
        <v>856.44714954522863</v>
      </c>
      <c r="E52" s="49">
        <v>873.05768384684472</v>
      </c>
      <c r="F52" s="49">
        <v>852.73867499737855</v>
      </c>
      <c r="G52" s="49">
        <v>892.30305533243222</v>
      </c>
      <c r="H52" s="49">
        <v>891.96654912814427</v>
      </c>
      <c r="I52" s="49">
        <v>861.65825523548779</v>
      </c>
      <c r="J52" s="49">
        <v>958.05831595262305</v>
      </c>
      <c r="K52" s="49">
        <v>905.52266580268304</v>
      </c>
      <c r="L52" s="13">
        <v>877.52959241485576</v>
      </c>
      <c r="M52" s="13">
        <v>882.26489837266456</v>
      </c>
      <c r="N52" s="13">
        <v>914.44091163000212</v>
      </c>
      <c r="O52" s="13">
        <v>882.87678880576641</v>
      </c>
      <c r="P52" s="13">
        <v>949.8331932946993</v>
      </c>
      <c r="Q52" s="13">
        <v>933.89044848962226</v>
      </c>
      <c r="R52" s="56">
        <f t="shared" ref="R52:R55" si="28">+(Q52+S52)/2</f>
        <v>976.9825680076699</v>
      </c>
      <c r="S52" s="14">
        <v>1020.0746875257176</v>
      </c>
      <c r="T52" s="13">
        <v>1031.6166361450505</v>
      </c>
      <c r="U52" s="13">
        <v>1010.493547236046</v>
      </c>
      <c r="V52" s="13">
        <v>917.50639829671093</v>
      </c>
      <c r="W52" s="13">
        <v>1073.2521508095479</v>
      </c>
      <c r="X52" s="13">
        <v>1057.5779928028064</v>
      </c>
      <c r="Y52" s="13">
        <v>1054.4075693048433</v>
      </c>
      <c r="Z52" s="13">
        <v>1027.8616458981094</v>
      </c>
      <c r="AA52" s="13">
        <v>1041.0608280736474</v>
      </c>
      <c r="AB52" s="13">
        <v>1071.7016524726002</v>
      </c>
      <c r="AC52" s="13">
        <v>1072.8710182310303</v>
      </c>
      <c r="AD52" s="13">
        <v>1122.0969756257055</v>
      </c>
      <c r="AE52" s="13">
        <v>1075.7454431206636</v>
      </c>
      <c r="AF52" s="13">
        <v>1075.0820256095142</v>
      </c>
      <c r="AG52" s="13">
        <v>1040.7812748902745</v>
      </c>
      <c r="AH52" s="13">
        <v>1112.0573086296959</v>
      </c>
      <c r="AI52" s="13">
        <v>1103.1502842819284</v>
      </c>
      <c r="AJ52" s="13">
        <v>1893.1397919736264</v>
      </c>
      <c r="AK52" s="13">
        <v>1074.4684220815159</v>
      </c>
      <c r="AL52" s="13">
        <v>1021.2073990184944</v>
      </c>
      <c r="AM52" s="13">
        <v>1038.4029883037119</v>
      </c>
      <c r="AN52" s="13">
        <v>1094.8531601356931</v>
      </c>
      <c r="AO52" s="13">
        <v>1103.8409926277986</v>
      </c>
      <c r="AP52" s="13">
        <v>901.28888704966823</v>
      </c>
      <c r="AQ52" s="13">
        <v>898.22622688887679</v>
      </c>
      <c r="AR52" s="13">
        <v>826.5186096086635</v>
      </c>
      <c r="AS52" s="13">
        <v>857.01346023878102</v>
      </c>
      <c r="AT52" s="13">
        <v>1028.5940889237702</v>
      </c>
      <c r="AU52" s="13">
        <v>937.5450301374384</v>
      </c>
      <c r="AV52" s="13">
        <v>990.51407964831992</v>
      </c>
      <c r="AW52" s="13">
        <v>973.57341101456188</v>
      </c>
      <c r="AX52" s="56">
        <f>+(AW52+BA52)/2</f>
        <v>1058.9194291898755</v>
      </c>
      <c r="AY52" s="56">
        <f>+(AX52+BA52)/2</f>
        <v>1101.5924382775322</v>
      </c>
      <c r="AZ52" s="56">
        <f>+(AY52+BA52)/2</f>
        <v>1122.9289428213606</v>
      </c>
      <c r="BA52" s="38">
        <v>1144.2654473651889</v>
      </c>
      <c r="BB52" s="13">
        <v>1163.7351995717754</v>
      </c>
      <c r="BC52" s="13">
        <v>1182.4062405203344</v>
      </c>
      <c r="BD52" s="13">
        <v>1101.17617833439</v>
      </c>
      <c r="BE52" s="13">
        <v>1112.0305196662814</v>
      </c>
      <c r="BF52" s="13">
        <v>1063.5325045336242</v>
      </c>
      <c r="BG52" s="13">
        <v>1170.9107478181713</v>
      </c>
      <c r="BH52" s="13">
        <v>1144.9617386674443</v>
      </c>
      <c r="BI52" s="13">
        <v>1167.3804475258919</v>
      </c>
      <c r="BJ52" s="13">
        <v>1237.6182503189882</v>
      </c>
      <c r="BK52" s="49">
        <v>1196.3469317461634</v>
      </c>
      <c r="BL52" s="49">
        <v>1168.9665352595111</v>
      </c>
      <c r="BM52" s="49">
        <v>1278.0113134156852</v>
      </c>
      <c r="BN52" s="49">
        <v>1335.8181052245989</v>
      </c>
      <c r="BO52" s="49">
        <v>1359.0704319618537</v>
      </c>
      <c r="BP52" s="49">
        <v>1254.9182516306032</v>
      </c>
      <c r="BQ52" s="49">
        <v>994.20272754146367</v>
      </c>
      <c r="BR52" s="49">
        <v>1060.0874657987772</v>
      </c>
      <c r="BS52" s="49">
        <v>1116.9403708936782</v>
      </c>
      <c r="BT52" s="49">
        <v>1327.2618446134009</v>
      </c>
      <c r="BU52" s="49">
        <v>1358.291962423425</v>
      </c>
      <c r="BV52" s="49">
        <v>1335.5577132937644</v>
      </c>
      <c r="BW52" s="49">
        <v>1306.3304287855258</v>
      </c>
      <c r="BX52" s="49">
        <v>1248.9709007541881</v>
      </c>
      <c r="BY52" s="49">
        <v>1319.0176618302773</v>
      </c>
      <c r="BZ52" s="49">
        <v>1203.3579612554188</v>
      </c>
      <c r="CA52" s="49">
        <v>1326.6335460896105</v>
      </c>
      <c r="CB52" s="49">
        <v>1211.515605676047</v>
      </c>
      <c r="CC52" s="49">
        <v>1197.2024773357614</v>
      </c>
      <c r="CD52" s="49">
        <v>1332.3132103152225</v>
      </c>
      <c r="CE52" s="49">
        <v>1423.2275925805777</v>
      </c>
      <c r="CF52" s="49">
        <v>1324.1292452633143</v>
      </c>
      <c r="CG52" s="49">
        <v>1330.4462624472737</v>
      </c>
      <c r="CH52" s="49">
        <v>1477.9986466980708</v>
      </c>
      <c r="CI52" s="49">
        <v>1616.7654073343051</v>
      </c>
      <c r="CJ52" s="49">
        <v>1400.7611182887431</v>
      </c>
    </row>
    <row r="53" spans="1:88" ht="20.149999999999999" customHeight="1" x14ac:dyDescent="0.25">
      <c r="A53" s="12" t="s">
        <v>45</v>
      </c>
      <c r="B53" s="49">
        <v>1541.6823278501815</v>
      </c>
      <c r="C53" s="49">
        <v>1542.4968650025826</v>
      </c>
      <c r="D53" s="49">
        <v>1442.3017592260096</v>
      </c>
      <c r="E53" s="49">
        <v>1546.2680494723616</v>
      </c>
      <c r="F53" s="49">
        <v>1531.4958913277674</v>
      </c>
      <c r="G53" s="49">
        <v>1535.9773880554005</v>
      </c>
      <c r="H53" s="49">
        <v>1371.5514227925557</v>
      </c>
      <c r="I53" s="49">
        <v>1495.3098208826857</v>
      </c>
      <c r="J53" s="49">
        <v>1655.861379284876</v>
      </c>
      <c r="K53" s="49">
        <v>1650.2947478518033</v>
      </c>
      <c r="L53" s="13">
        <v>1554.7602446907624</v>
      </c>
      <c r="M53" s="13">
        <v>1653.2567868587178</v>
      </c>
      <c r="N53" s="13">
        <v>1678.9068176271203</v>
      </c>
      <c r="O53" s="13">
        <v>1636.6399028762673</v>
      </c>
      <c r="P53" s="13">
        <v>1693.2706144264882</v>
      </c>
      <c r="Q53" s="13">
        <v>1803.7729757340564</v>
      </c>
      <c r="R53" s="56">
        <f t="shared" si="28"/>
        <v>1777.7972805467157</v>
      </c>
      <c r="S53" s="14">
        <v>1751.8215853593751</v>
      </c>
      <c r="T53" s="13">
        <v>1762.0194025121914</v>
      </c>
      <c r="U53" s="13">
        <v>1839.1707812850839</v>
      </c>
      <c r="V53" s="13">
        <v>1756.0586877382905</v>
      </c>
      <c r="W53" s="13">
        <v>1862.0349304315462</v>
      </c>
      <c r="X53" s="13">
        <v>1848.7416571913275</v>
      </c>
      <c r="Y53" s="13">
        <v>1864.6673575967807</v>
      </c>
      <c r="Z53" s="13">
        <v>1901.0833677178941</v>
      </c>
      <c r="AA53" s="13">
        <v>1835.6147804143066</v>
      </c>
      <c r="AB53" s="13">
        <v>1855.0999077867957</v>
      </c>
      <c r="AC53" s="13">
        <v>1985.1766892335611</v>
      </c>
      <c r="AD53" s="13">
        <v>1811.0874052478282</v>
      </c>
      <c r="AE53" s="13">
        <v>1934.5656586257405</v>
      </c>
      <c r="AF53" s="13">
        <v>1861.6703276819139</v>
      </c>
      <c r="AG53" s="13">
        <v>2051.5578777333312</v>
      </c>
      <c r="AH53" s="13">
        <v>1956.9810031797463</v>
      </c>
      <c r="AI53" s="13">
        <v>1940.6195140992686</v>
      </c>
      <c r="AJ53" s="13">
        <v>5609.3152380032943</v>
      </c>
      <c r="AK53" s="13">
        <v>1972.4684821295282</v>
      </c>
      <c r="AL53" s="13">
        <v>2012.5169346361615</v>
      </c>
      <c r="AM53" s="13">
        <v>2014.6051244845762</v>
      </c>
      <c r="AN53" s="13">
        <v>1906.7434561119894</v>
      </c>
      <c r="AO53" s="13">
        <v>1941.0041868456742</v>
      </c>
      <c r="AP53" s="13">
        <v>2163.3278206628306</v>
      </c>
      <c r="AQ53" s="13">
        <v>2104.7254123263615</v>
      </c>
      <c r="AR53" s="13">
        <v>2047.8764001460668</v>
      </c>
      <c r="AS53" s="13">
        <v>2025.1001868878575</v>
      </c>
      <c r="AT53" s="13">
        <v>1863.7198076895645</v>
      </c>
      <c r="AU53" s="13">
        <v>1976.3262962072681</v>
      </c>
      <c r="AV53" s="13">
        <v>1865.3751836988095</v>
      </c>
      <c r="AW53" s="13">
        <v>1848.8991094605317</v>
      </c>
      <c r="AX53" s="56">
        <f t="shared" ref="AX53:AX55" si="29">+(AW53+BA53)/2</f>
        <v>1924.4300991432583</v>
      </c>
      <c r="AY53" s="56">
        <f t="shared" ref="AY53:AY55" si="30">+(AX53+BA53)/2</f>
        <v>1962.1955939846216</v>
      </c>
      <c r="AZ53" s="56">
        <f t="shared" ref="AZ53:AZ55" si="31">+(AY53+BA53)/2</f>
        <v>1981.0783414053035</v>
      </c>
      <c r="BA53" s="38">
        <v>1999.9610888259851</v>
      </c>
      <c r="BB53" s="13">
        <v>2047.9363439067454</v>
      </c>
      <c r="BC53" s="13">
        <v>2091.1540933083702</v>
      </c>
      <c r="BD53" s="13">
        <v>2003.4433959257271</v>
      </c>
      <c r="BE53" s="13">
        <v>2046.7118219705226</v>
      </c>
      <c r="BF53" s="13">
        <v>2041.0939920286319</v>
      </c>
      <c r="BG53" s="13">
        <v>2218.5487772420738</v>
      </c>
      <c r="BH53" s="13">
        <v>2133.4985917234499</v>
      </c>
      <c r="BI53" s="13">
        <v>2191.09133504994</v>
      </c>
      <c r="BJ53" s="13">
        <v>2054.8098789474461</v>
      </c>
      <c r="BK53" s="49">
        <v>2225.5553062950225</v>
      </c>
      <c r="BL53" s="49">
        <v>2131.6062076607714</v>
      </c>
      <c r="BM53" s="49">
        <v>2162.3283872584061</v>
      </c>
      <c r="BN53" s="49">
        <v>2250.0987495002237</v>
      </c>
      <c r="BO53" s="49">
        <v>2321.9997802166949</v>
      </c>
      <c r="BP53" s="49">
        <v>2156.53867786726</v>
      </c>
      <c r="BQ53" s="49">
        <v>1956.0655676470228</v>
      </c>
      <c r="BR53" s="49">
        <v>1987.9956960075672</v>
      </c>
      <c r="BS53" s="49">
        <v>2075.8506228036849</v>
      </c>
      <c r="BT53" s="49">
        <v>2239.093014954934</v>
      </c>
      <c r="BU53" s="49">
        <v>2335.0550674753354</v>
      </c>
      <c r="BV53" s="49">
        <v>2507.1391773692872</v>
      </c>
      <c r="BW53" s="49">
        <v>2458.3671424460363</v>
      </c>
      <c r="BX53" s="49">
        <v>2429.3664671280258</v>
      </c>
      <c r="BY53" s="49">
        <v>2329.6310839668431</v>
      </c>
      <c r="BZ53" s="49">
        <v>2307.2079144926797</v>
      </c>
      <c r="CA53" s="49">
        <v>2268.7843389296108</v>
      </c>
      <c r="CB53" s="49">
        <v>2336.2455175025789</v>
      </c>
      <c r="CC53" s="49">
        <v>2250.7563673388981</v>
      </c>
      <c r="CD53" s="49">
        <v>2240.6196541944773</v>
      </c>
      <c r="CE53" s="49">
        <v>2353.0378442077217</v>
      </c>
      <c r="CF53" s="49">
        <v>2260.1575637223073</v>
      </c>
      <c r="CG53" s="49">
        <v>2313.6488709425284</v>
      </c>
      <c r="CH53" s="49">
        <v>2402.8488034094999</v>
      </c>
      <c r="CI53" s="49">
        <v>2268.6649540270373</v>
      </c>
      <c r="CJ53" s="49">
        <v>2334.5821116092561</v>
      </c>
    </row>
    <row r="54" spans="1:88" ht="20.149999999999999" customHeight="1" x14ac:dyDescent="0.25">
      <c r="A54" s="12" t="s">
        <v>46</v>
      </c>
      <c r="B54" s="49">
        <v>3908.6880017979861</v>
      </c>
      <c r="C54" s="49">
        <v>4068.7189126501403</v>
      </c>
      <c r="D54" s="49">
        <v>4255.2097834863253</v>
      </c>
      <c r="E54" s="49">
        <v>4344.752105710897</v>
      </c>
      <c r="F54" s="49">
        <v>4565.8906675962253</v>
      </c>
      <c r="G54" s="49">
        <v>4539.1784177466334</v>
      </c>
      <c r="H54" s="49">
        <v>4567.3746953791097</v>
      </c>
      <c r="I54" s="49">
        <v>4662.8484206150233</v>
      </c>
      <c r="J54" s="49">
        <v>4606.3155282943717</v>
      </c>
      <c r="K54" s="49">
        <v>4797.7624592533484</v>
      </c>
      <c r="L54" s="13">
        <v>4815.8511252601547</v>
      </c>
      <c r="M54" s="13">
        <v>5040.4866665299769</v>
      </c>
      <c r="N54" s="13">
        <v>5023.1147753959094</v>
      </c>
      <c r="O54" s="13">
        <v>5161.7561755989664</v>
      </c>
      <c r="P54" s="13">
        <v>4996.1256210075635</v>
      </c>
      <c r="Q54" s="13">
        <v>5103.9623324909307</v>
      </c>
      <c r="R54" s="56">
        <f t="shared" si="28"/>
        <v>5092.3334077244872</v>
      </c>
      <c r="S54" s="14">
        <v>5080.7044829580445</v>
      </c>
      <c r="T54" s="13">
        <v>5090.9435881432619</v>
      </c>
      <c r="U54" s="13">
        <v>5083.6623967059877</v>
      </c>
      <c r="V54" s="13">
        <v>5310.1434330287702</v>
      </c>
      <c r="W54" s="13">
        <v>5328.9224441512115</v>
      </c>
      <c r="X54" s="13">
        <v>5333.0197633348826</v>
      </c>
      <c r="Y54" s="13">
        <v>5130.565294275013</v>
      </c>
      <c r="Z54" s="13">
        <v>5086.4231214596357</v>
      </c>
      <c r="AA54" s="13">
        <v>5323.8149706447575</v>
      </c>
      <c r="AB54" s="13">
        <v>5233.195963556549</v>
      </c>
      <c r="AC54" s="13">
        <v>5170.7421481931169</v>
      </c>
      <c r="AD54" s="13">
        <v>5257.7925554948906</v>
      </c>
      <c r="AE54" s="13">
        <v>5316.9599019664511</v>
      </c>
      <c r="AF54" s="13">
        <v>5380.3876936227607</v>
      </c>
      <c r="AG54" s="13">
        <v>5483.5868296654153</v>
      </c>
      <c r="AH54" s="13">
        <v>5559.8636005908811</v>
      </c>
      <c r="AI54" s="13">
        <v>5618.0418544829508</v>
      </c>
      <c r="AJ54" s="13">
        <v>2291.887541703562</v>
      </c>
      <c r="AK54" s="13">
        <v>5484.8329362567547</v>
      </c>
      <c r="AL54" s="13">
        <v>5502.3189450281616</v>
      </c>
      <c r="AM54" s="13">
        <v>5767.483878157529</v>
      </c>
      <c r="AN54" s="13">
        <v>5528.1013296601732</v>
      </c>
      <c r="AO54" s="13">
        <v>5699.4891132468738</v>
      </c>
      <c r="AP54" s="13">
        <v>5900.794346883933</v>
      </c>
      <c r="AQ54" s="13">
        <v>5861.1077515358684</v>
      </c>
      <c r="AR54" s="13">
        <v>5940.5326832634983</v>
      </c>
      <c r="AS54" s="13">
        <v>5729.7154115669455</v>
      </c>
      <c r="AT54" s="13">
        <v>5707.1887895666869</v>
      </c>
      <c r="AU54" s="13">
        <v>5881.9777166980602</v>
      </c>
      <c r="AV54" s="13">
        <v>5856.0448663822035</v>
      </c>
      <c r="AW54" s="13">
        <v>5970.4326551127106</v>
      </c>
      <c r="AX54" s="56">
        <f t="shared" si="29"/>
        <v>5879.7550649707891</v>
      </c>
      <c r="AY54" s="56">
        <f t="shared" si="30"/>
        <v>5834.416269899828</v>
      </c>
      <c r="AZ54" s="56">
        <f t="shared" si="31"/>
        <v>5811.7468723643478</v>
      </c>
      <c r="BA54" s="38">
        <v>5789.0774748288677</v>
      </c>
      <c r="BB54" s="13">
        <v>5952.5388244076839</v>
      </c>
      <c r="BC54" s="13">
        <v>5843.3778448315252</v>
      </c>
      <c r="BD54" s="13">
        <v>5965.3861728120237</v>
      </c>
      <c r="BE54" s="13">
        <v>5902.8980068650681</v>
      </c>
      <c r="BF54" s="13">
        <v>6183.5287688589106</v>
      </c>
      <c r="BG54" s="13">
        <v>6095.0312542004485</v>
      </c>
      <c r="BH54" s="13">
        <v>6133.2847348371424</v>
      </c>
      <c r="BI54" s="13">
        <v>6002.155241240649</v>
      </c>
      <c r="BJ54" s="13">
        <v>6045.5775351671145</v>
      </c>
      <c r="BK54" s="49">
        <v>5944.2941921124384</v>
      </c>
      <c r="BL54" s="49">
        <v>6027.7185440705098</v>
      </c>
      <c r="BM54" s="49">
        <v>6044.9005002705717</v>
      </c>
      <c r="BN54" s="49">
        <v>5984.131194017612</v>
      </c>
      <c r="BO54" s="49">
        <v>5983.0483373263996</v>
      </c>
      <c r="BP54" s="49">
        <v>5970.4254850519619</v>
      </c>
      <c r="BQ54" s="49">
        <v>4741.482986629755</v>
      </c>
      <c r="BR54" s="49">
        <v>5627.6810269666421</v>
      </c>
      <c r="BS54" s="49">
        <v>5950.9797573144169</v>
      </c>
      <c r="BT54" s="49">
        <v>6182.1256911653318</v>
      </c>
      <c r="BU54" s="49">
        <v>6082.5058643453449</v>
      </c>
      <c r="BV54" s="49">
        <v>6178.9995013136913</v>
      </c>
      <c r="BW54" s="49">
        <v>6558.4182794064391</v>
      </c>
      <c r="BX54" s="49">
        <v>6472.9224589609667</v>
      </c>
      <c r="BY54" s="49">
        <v>6769.8304147494582</v>
      </c>
      <c r="BZ54" s="49">
        <v>6863.3499139782616</v>
      </c>
      <c r="CA54" s="49">
        <v>6872.4633781080529</v>
      </c>
      <c r="CB54" s="49">
        <v>7110.3050498240063</v>
      </c>
      <c r="CC54" s="49">
        <v>7147.9779737235476</v>
      </c>
      <c r="CD54" s="49">
        <v>7334.4857443452174</v>
      </c>
      <c r="CE54" s="49">
        <v>7315.251550171447</v>
      </c>
      <c r="CF54" s="49">
        <v>7150.6809022421503</v>
      </c>
      <c r="CG54" s="49">
        <v>7167.3195942841421</v>
      </c>
      <c r="CH54" s="49">
        <v>7156.3823193284488</v>
      </c>
      <c r="CI54" s="49">
        <v>7400.0432551015992</v>
      </c>
      <c r="CJ54" s="49">
        <v>7207.9124942016615</v>
      </c>
    </row>
    <row r="55" spans="1:88" ht="20.149999999999999" customHeight="1" x14ac:dyDescent="0.25">
      <c r="A55" s="12" t="s">
        <v>47</v>
      </c>
      <c r="B55" s="49">
        <v>2140.1760946587024</v>
      </c>
      <c r="C55" s="49">
        <v>2169.7459762245853</v>
      </c>
      <c r="D55" s="49">
        <v>2120.7182030545305</v>
      </c>
      <c r="E55" s="49">
        <v>2090.2864264503669</v>
      </c>
      <c r="F55" s="49">
        <v>2072.50902237319</v>
      </c>
      <c r="G55" s="49">
        <v>2197.4602729547028</v>
      </c>
      <c r="H55" s="49">
        <v>2254.1194184671654</v>
      </c>
      <c r="I55" s="49">
        <v>2174.9070947381942</v>
      </c>
      <c r="J55" s="49">
        <v>2313.1912085934273</v>
      </c>
      <c r="K55" s="49">
        <v>2321.5396754999751</v>
      </c>
      <c r="L55" s="13">
        <v>2311.8146508115665</v>
      </c>
      <c r="M55" s="13">
        <v>2269.764081989691</v>
      </c>
      <c r="N55" s="13">
        <v>2291.4010183142836</v>
      </c>
      <c r="O55" s="13">
        <v>2410.9852688076753</v>
      </c>
      <c r="P55" s="13">
        <v>2416.8127553480158</v>
      </c>
      <c r="Q55" s="13">
        <v>2376.6216512022879</v>
      </c>
      <c r="R55" s="56">
        <f t="shared" si="28"/>
        <v>2392.3578347606131</v>
      </c>
      <c r="S55" s="14">
        <v>2408.0940183189382</v>
      </c>
      <c r="T55" s="13">
        <v>2394.1464830932828</v>
      </c>
      <c r="U55" s="13">
        <v>2430.5408568688167</v>
      </c>
      <c r="V55" s="13">
        <v>2365.2389647605173</v>
      </c>
      <c r="W55" s="13">
        <v>2345.6184557652291</v>
      </c>
      <c r="X55" s="13">
        <v>2348.8720461931189</v>
      </c>
      <c r="Y55" s="13">
        <v>2480.822985592753</v>
      </c>
      <c r="Z55" s="13">
        <v>2456.772612990927</v>
      </c>
      <c r="AA55" s="13">
        <v>2449.2388685877463</v>
      </c>
      <c r="AB55" s="13">
        <v>2465.3389405301768</v>
      </c>
      <c r="AC55" s="13">
        <v>2467.4906249448982</v>
      </c>
      <c r="AD55" s="13">
        <v>2543.0258737383938</v>
      </c>
      <c r="AE55" s="13">
        <v>2419.5892566326684</v>
      </c>
      <c r="AF55" s="13">
        <v>2435.1817232685407</v>
      </c>
      <c r="AG55" s="13">
        <v>2424.6163783557899</v>
      </c>
      <c r="AH55" s="13">
        <v>2457.720233760977</v>
      </c>
      <c r="AI55" s="13">
        <v>2366.220374586153</v>
      </c>
      <c r="AJ55" s="13">
        <v>75.144176177061397</v>
      </c>
      <c r="AK55" s="13">
        <v>2535.0865286536819</v>
      </c>
      <c r="AL55" s="13">
        <v>2679.0610454427365</v>
      </c>
      <c r="AM55" s="13">
        <v>2388.8804927074502</v>
      </c>
      <c r="AN55" s="13">
        <v>2454.8480316685564</v>
      </c>
      <c r="AO55" s="13">
        <v>2507.1725509562784</v>
      </c>
      <c r="AP55" s="13">
        <v>2288.2513724585656</v>
      </c>
      <c r="AQ55" s="13">
        <v>2357.9768703414247</v>
      </c>
      <c r="AR55" s="13">
        <v>2194.6116522984239</v>
      </c>
      <c r="AS55" s="13">
        <v>2288.4097424710612</v>
      </c>
      <c r="AT55" s="13">
        <v>2333.9400999510053</v>
      </c>
      <c r="AU55" s="13">
        <v>2344.0578682832665</v>
      </c>
      <c r="AV55" s="13">
        <v>2298.4529501022007</v>
      </c>
      <c r="AW55" s="13">
        <v>2267.5940282251481</v>
      </c>
      <c r="AX55" s="56">
        <f t="shared" si="29"/>
        <v>2366.4718020657147</v>
      </c>
      <c r="AY55" s="56">
        <f t="shared" si="30"/>
        <v>2415.9106889859981</v>
      </c>
      <c r="AZ55" s="56">
        <f t="shared" si="31"/>
        <v>2440.6301324461401</v>
      </c>
      <c r="BA55" s="38">
        <v>2465.3495759062816</v>
      </c>
      <c r="BB55" s="13">
        <v>2450.0069879797129</v>
      </c>
      <c r="BC55" s="13">
        <v>2479.8115997476461</v>
      </c>
      <c r="BD55" s="13">
        <v>2390.8157488357074</v>
      </c>
      <c r="BE55" s="13">
        <v>2449.4070275548293</v>
      </c>
      <c r="BF55" s="13">
        <v>2522.6453664357864</v>
      </c>
      <c r="BG55" s="13">
        <v>2526.8363490733386</v>
      </c>
      <c r="BH55" s="13">
        <v>2454.6358903993137</v>
      </c>
      <c r="BI55" s="13">
        <v>2396.9713913722535</v>
      </c>
      <c r="BJ55" s="13">
        <v>2599.873398166093</v>
      </c>
      <c r="BK55" s="49">
        <v>2542.7749569238385</v>
      </c>
      <c r="BL55" s="49">
        <v>2519.3677130092074</v>
      </c>
      <c r="BM55" s="49">
        <v>2481.5217990553369</v>
      </c>
      <c r="BN55" s="49">
        <v>2538.9834141148244</v>
      </c>
      <c r="BO55" s="49">
        <v>2478.1654504950511</v>
      </c>
      <c r="BP55" s="49">
        <v>2563.1795854501752</v>
      </c>
      <c r="BQ55" s="49">
        <v>1758.3807181817576</v>
      </c>
      <c r="BR55" s="49">
        <v>1895.3748112270137</v>
      </c>
      <c r="BS55" s="49">
        <v>2277.9862489882198</v>
      </c>
      <c r="BT55" s="49">
        <v>2114.5764492663329</v>
      </c>
      <c r="BU55" s="49">
        <v>2049.3011057558961</v>
      </c>
      <c r="BV55" s="49">
        <v>2200.9496080232575</v>
      </c>
      <c r="BW55" s="49">
        <v>2183.3371493619979</v>
      </c>
      <c r="BX55" s="49">
        <v>2254.0061731568198</v>
      </c>
      <c r="BY55" s="49">
        <v>2377.2158394534217</v>
      </c>
      <c r="BZ55" s="49">
        <v>2337.59721027364</v>
      </c>
      <c r="CA55" s="49">
        <v>2414.2277368727259</v>
      </c>
      <c r="CB55" s="49">
        <v>2347.3258269973685</v>
      </c>
      <c r="CC55" s="49">
        <v>2296.5321816017931</v>
      </c>
      <c r="CD55" s="49">
        <v>2285.243391145083</v>
      </c>
      <c r="CE55" s="49">
        <v>2151.182013040253</v>
      </c>
      <c r="CF55" s="49">
        <v>2147.2232887722284</v>
      </c>
      <c r="CG55" s="49">
        <v>2273.4992723260548</v>
      </c>
      <c r="CH55" s="49">
        <v>2154.86823056398</v>
      </c>
      <c r="CI55" s="49">
        <v>2169.509383537059</v>
      </c>
      <c r="CJ55" s="49">
        <v>2199.9962759003402</v>
      </c>
    </row>
    <row r="56" spans="1:88" ht="20.149999999999999" customHeight="1" thickBot="1" x14ac:dyDescent="0.3">
      <c r="A56" s="15" t="s">
        <v>48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40"/>
      <c r="S56" s="15"/>
      <c r="T56" s="15"/>
      <c r="U56" s="15"/>
      <c r="V56" s="15"/>
      <c r="W56" s="15"/>
      <c r="X56" s="15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40"/>
      <c r="AY56" s="40"/>
      <c r="AZ56" s="40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</row>
    <row r="57" spans="1:88" ht="20.149999999999999" customHeight="1" x14ac:dyDescent="0.25">
      <c r="A57" s="12" t="s">
        <v>49</v>
      </c>
      <c r="B57" s="49">
        <v>1279.7066334139508</v>
      </c>
      <c r="C57" s="49">
        <v>1254.4343230569991</v>
      </c>
      <c r="D57" s="49">
        <v>1129.5625324386267</v>
      </c>
      <c r="E57" s="49">
        <v>1281.8693389420712</v>
      </c>
      <c r="F57" s="49">
        <v>1257.8934580304199</v>
      </c>
      <c r="G57" s="49">
        <v>1222.3272735281964</v>
      </c>
      <c r="H57" s="49">
        <v>1102.9100844139293</v>
      </c>
      <c r="I57" s="49">
        <v>1154.4562526203151</v>
      </c>
      <c r="J57" s="49">
        <v>1215.3758801150332</v>
      </c>
      <c r="K57" s="49">
        <v>1268.6869273890452</v>
      </c>
      <c r="L57" s="13">
        <v>1085.4589813520106</v>
      </c>
      <c r="M57" s="13">
        <v>1339.8638361453868</v>
      </c>
      <c r="N57" s="13">
        <v>1208.5345662769569</v>
      </c>
      <c r="O57" s="13">
        <v>1272.1823502718303</v>
      </c>
      <c r="P57" s="13">
        <v>1087.2030757799123</v>
      </c>
      <c r="Q57" s="13">
        <v>1309.5420285897678</v>
      </c>
      <c r="R57" s="56">
        <f t="shared" ref="R57:R62" si="32">+(Q57+S57)/2</f>
        <v>1263.7797569176735</v>
      </c>
      <c r="S57" s="14">
        <v>1218.0174852455791</v>
      </c>
      <c r="T57" s="13">
        <v>1048.031218667714</v>
      </c>
      <c r="U57" s="13">
        <v>1160.3335769980301</v>
      </c>
      <c r="V57" s="13">
        <v>1201.9762951453836</v>
      </c>
      <c r="W57" s="13">
        <v>1294.9459201463112</v>
      </c>
      <c r="X57" s="13">
        <v>1147.5236083318052</v>
      </c>
      <c r="Y57" s="13">
        <v>1392.3061852109636</v>
      </c>
      <c r="Z57" s="13">
        <v>1363.9543549874788</v>
      </c>
      <c r="AA57" s="13">
        <v>1298.8506240783615</v>
      </c>
      <c r="AB57" s="13">
        <v>1154.8182346764768</v>
      </c>
      <c r="AC57" s="13">
        <v>1268.6080765830677</v>
      </c>
      <c r="AD57" s="13">
        <v>1243.1084816505142</v>
      </c>
      <c r="AE57" s="13">
        <v>1205.2901182059279</v>
      </c>
      <c r="AF57" s="13">
        <v>1067.0257886948295</v>
      </c>
      <c r="AG57" s="13">
        <v>1195.9960428726947</v>
      </c>
      <c r="AH57" s="13">
        <v>1251.44247964955</v>
      </c>
      <c r="AI57" s="13">
        <v>1222.6292074554058</v>
      </c>
      <c r="AJ57" s="13">
        <v>1102.1815653191425</v>
      </c>
      <c r="AK57" s="13">
        <v>1325.4396568097204</v>
      </c>
      <c r="AL57" s="13">
        <v>1382.3636283759729</v>
      </c>
      <c r="AM57" s="13">
        <v>1294.9837705979328</v>
      </c>
      <c r="AN57" s="13">
        <v>1164.329592571461</v>
      </c>
      <c r="AO57" s="13">
        <v>1390.2988376154331</v>
      </c>
      <c r="AP57" s="13">
        <v>1262.1146523078778</v>
      </c>
      <c r="AQ57" s="13">
        <v>1257.8373719261601</v>
      </c>
      <c r="AR57" s="13">
        <v>1135.2385995587365</v>
      </c>
      <c r="AS57" s="13">
        <v>1274.7258861801938</v>
      </c>
      <c r="AT57" s="13">
        <v>1246.1598776029275</v>
      </c>
      <c r="AU57" s="13">
        <v>1310.920495405428</v>
      </c>
      <c r="AV57" s="13">
        <v>1191.1190938300915</v>
      </c>
      <c r="AW57" s="13">
        <v>1315.6414533887842</v>
      </c>
      <c r="AX57" s="56">
        <f t="shared" ref="AX57:AX62" si="33">+(AW57+BA57)/2</f>
        <v>1426.3318244449724</v>
      </c>
      <c r="AY57" s="56">
        <f t="shared" ref="AY57:AY62" si="34">+(AX57+BA57)/2</f>
        <v>1481.6770099730666</v>
      </c>
      <c r="AZ57" s="56">
        <f t="shared" ref="AZ57:AZ62" si="35">+(AY57+BA57)/2</f>
        <v>1509.3496027371134</v>
      </c>
      <c r="BA57" s="34">
        <v>1537.0221955011605</v>
      </c>
      <c r="BB57" s="13">
        <v>1503.6718776302741</v>
      </c>
      <c r="BC57" s="13">
        <v>1532.9136538911346</v>
      </c>
      <c r="BD57" s="13">
        <v>1380.4284291983358</v>
      </c>
      <c r="BE57" s="13">
        <v>1589.632873483388</v>
      </c>
      <c r="BF57" s="13">
        <v>1586.3570134175147</v>
      </c>
      <c r="BG57" s="13">
        <v>1595.7981687991787</v>
      </c>
      <c r="BH57" s="13">
        <v>1453.9031362891549</v>
      </c>
      <c r="BI57" s="13">
        <v>1694.8152059395586</v>
      </c>
      <c r="BJ57" s="13">
        <v>1650.6514625421178</v>
      </c>
      <c r="BK57" s="49">
        <v>1670.2399112779278</v>
      </c>
      <c r="BL57" s="49">
        <v>11847.659</v>
      </c>
      <c r="BM57" s="49">
        <v>1898.8679999999999</v>
      </c>
      <c r="BN57" s="49">
        <v>1824.1441919763938</v>
      </c>
      <c r="BO57" s="49">
        <v>1801.6</v>
      </c>
      <c r="BP57" s="49">
        <v>1762.396</v>
      </c>
      <c r="BQ57" s="49">
        <v>9450.1319999999996</v>
      </c>
      <c r="BR57" s="49">
        <v>1888.279</v>
      </c>
      <c r="BS57" s="49">
        <v>1980.5160000000001</v>
      </c>
      <c r="BT57" s="49">
        <v>1743.3130000000001</v>
      </c>
      <c r="BU57" s="49">
        <v>1772.9559999999999</v>
      </c>
      <c r="BV57" s="49">
        <v>1760.0909999999999</v>
      </c>
      <c r="BW57" s="49">
        <v>1689.1</v>
      </c>
      <c r="BX57" s="49">
        <v>1500.1659999999999</v>
      </c>
      <c r="BY57" s="49">
        <v>1756.934</v>
      </c>
      <c r="BZ57" s="49">
        <v>1728.739</v>
      </c>
      <c r="CA57" s="49">
        <v>1717.6189999999999</v>
      </c>
      <c r="CB57" s="49">
        <v>1632.194</v>
      </c>
      <c r="CC57" s="49">
        <v>1770.6690000000001</v>
      </c>
      <c r="CD57" s="49">
        <v>1669.124</v>
      </c>
      <c r="CE57" s="49">
        <v>1649.316</v>
      </c>
      <c r="CF57" s="49">
        <v>1629.2619999999999</v>
      </c>
      <c r="CG57" s="49">
        <v>1965.0619999999999</v>
      </c>
      <c r="CH57" s="49">
        <v>1793.097</v>
      </c>
      <c r="CI57" s="49">
        <v>1755.05</v>
      </c>
      <c r="CJ57" s="49">
        <v>1680.7945647515007</v>
      </c>
    </row>
    <row r="58" spans="1:88" ht="20.149999999999999" customHeight="1" x14ac:dyDescent="0.25">
      <c r="A58" s="12" t="s">
        <v>50</v>
      </c>
      <c r="B58" s="49">
        <v>1671.8779292598288</v>
      </c>
      <c r="C58" s="49">
        <v>1728.4559740644943</v>
      </c>
      <c r="D58" s="49">
        <v>1515.2000519976739</v>
      </c>
      <c r="E58" s="49">
        <v>1786.3395866263108</v>
      </c>
      <c r="F58" s="49">
        <v>1735.6665724011179</v>
      </c>
      <c r="G58" s="49">
        <v>1774.3869784307881</v>
      </c>
      <c r="H58" s="49">
        <v>1533.5709970836056</v>
      </c>
      <c r="I58" s="49">
        <v>1790.7556197311433</v>
      </c>
      <c r="J58" s="49">
        <v>1846.5834010572598</v>
      </c>
      <c r="K58" s="49">
        <v>1852.2075783218224</v>
      </c>
      <c r="L58" s="13">
        <v>1630.8321625343058</v>
      </c>
      <c r="M58" s="13">
        <v>1951.7324104727502</v>
      </c>
      <c r="N58" s="13">
        <v>1939.8173146174936</v>
      </c>
      <c r="O58" s="13">
        <v>1945.6815237643477</v>
      </c>
      <c r="P58" s="13">
        <v>1673.6288951629299</v>
      </c>
      <c r="Q58" s="13">
        <v>1978.1113514545086</v>
      </c>
      <c r="R58" s="56">
        <f t="shared" si="32"/>
        <v>1944.9361199674679</v>
      </c>
      <c r="S58" s="14">
        <v>1911.7608884804272</v>
      </c>
      <c r="T58" s="13">
        <v>1857.9371164416971</v>
      </c>
      <c r="U58" s="13">
        <v>2025.9861113677682</v>
      </c>
      <c r="V58" s="13">
        <v>1946.6279285342137</v>
      </c>
      <c r="W58" s="13">
        <v>2146.8028925091312</v>
      </c>
      <c r="X58" s="13">
        <v>1851.516551772585</v>
      </c>
      <c r="Y58" s="13">
        <v>2137.9198823482943</v>
      </c>
      <c r="Z58" s="13">
        <v>2167.640075189358</v>
      </c>
      <c r="AA58" s="13">
        <v>2096.0455243373926</v>
      </c>
      <c r="AB58" s="13">
        <v>1893.4086172279622</v>
      </c>
      <c r="AC58" s="13">
        <v>2224.8952548622492</v>
      </c>
      <c r="AD58" s="13">
        <v>2184.9332931374829</v>
      </c>
      <c r="AE58" s="13">
        <v>2101.9838773344686</v>
      </c>
      <c r="AF58" s="13">
        <v>1985.9426943533017</v>
      </c>
      <c r="AG58" s="13">
        <v>2219.5399307266175</v>
      </c>
      <c r="AH58" s="13">
        <v>2180.5476641215068</v>
      </c>
      <c r="AI58" s="13">
        <v>2230.6458000363173</v>
      </c>
      <c r="AJ58" s="13">
        <v>1990.1572394388047</v>
      </c>
      <c r="AK58" s="13">
        <v>2318.0838636399658</v>
      </c>
      <c r="AL58" s="13">
        <v>2268.005865699959</v>
      </c>
      <c r="AM58" s="13">
        <v>2270.1351619189609</v>
      </c>
      <c r="AN58" s="13">
        <v>1955.1558877659909</v>
      </c>
      <c r="AO58" s="13">
        <v>2313.9522831278268</v>
      </c>
      <c r="AP58" s="13">
        <v>2364.638791360193</v>
      </c>
      <c r="AQ58" s="13">
        <v>2235.4987057244634</v>
      </c>
      <c r="AR58" s="13">
        <v>1961.5321436227837</v>
      </c>
      <c r="AS58" s="13">
        <v>2410.0811677970846</v>
      </c>
      <c r="AT58" s="13">
        <v>2318.2660681962966</v>
      </c>
      <c r="AU58" s="13">
        <v>2370.2485617376783</v>
      </c>
      <c r="AV58" s="13">
        <v>2054.9437252469374</v>
      </c>
      <c r="AW58" s="13">
        <v>2408.8391387272122</v>
      </c>
      <c r="AX58" s="56">
        <f t="shared" si="33"/>
        <v>2535.291775398844</v>
      </c>
      <c r="AY58" s="56">
        <f t="shared" si="34"/>
        <v>2598.5180937346604</v>
      </c>
      <c r="AZ58" s="56">
        <f t="shared" si="35"/>
        <v>2630.1312529025681</v>
      </c>
      <c r="BA58" s="34">
        <v>2661.7444120704763</v>
      </c>
      <c r="BB58" s="13">
        <v>2581.21959975956</v>
      </c>
      <c r="BC58" s="13">
        <v>2608.0998004217663</v>
      </c>
      <c r="BD58" s="13">
        <v>1380.4284291983358</v>
      </c>
      <c r="BE58" s="13">
        <v>2727.2912055494699</v>
      </c>
      <c r="BF58" s="13">
        <v>2596.5763935427276</v>
      </c>
      <c r="BG58" s="13">
        <v>2781.1119722086323</v>
      </c>
      <c r="BH58" s="13">
        <v>2344.6546934071221</v>
      </c>
      <c r="BI58" s="13">
        <v>2747.6503453204696</v>
      </c>
      <c r="BJ58" s="13">
        <v>2648.6098811913912</v>
      </c>
      <c r="BK58" s="49">
        <v>2722.4368645971322</v>
      </c>
      <c r="BL58" s="49">
        <v>1633.163</v>
      </c>
      <c r="BM58" s="49">
        <v>2899.2220000000002</v>
      </c>
      <c r="BN58" s="49">
        <v>2864.6286095699975</v>
      </c>
      <c r="BO58" s="49">
        <v>2768.4360000000001</v>
      </c>
      <c r="BP58" s="49">
        <v>2520.6570000000002</v>
      </c>
      <c r="BQ58" s="49">
        <v>1543.1130000000001</v>
      </c>
      <c r="BR58" s="49">
        <v>2423.739</v>
      </c>
      <c r="BS58" s="49">
        <v>2628.1689999999999</v>
      </c>
      <c r="BT58" s="49">
        <v>2452.5309999999999</v>
      </c>
      <c r="BU58" s="49">
        <v>2818.9989999999998</v>
      </c>
      <c r="BV58" s="49">
        <v>2828.2689999999998</v>
      </c>
      <c r="BW58" s="49">
        <v>3050.2429999999999</v>
      </c>
      <c r="BX58" s="49">
        <v>2550.7240000000002</v>
      </c>
      <c r="BY58" s="49">
        <v>3277.7550000000001</v>
      </c>
      <c r="BZ58" s="49">
        <v>2786.4740000000002</v>
      </c>
      <c r="CA58" s="49">
        <v>2997.7150000000001</v>
      </c>
      <c r="CB58" s="49">
        <v>2657.1579999999999</v>
      </c>
      <c r="CC58" s="49">
        <v>3152.9560000000001</v>
      </c>
      <c r="CD58" s="49">
        <v>3053.0630000000001</v>
      </c>
      <c r="CE58" s="49">
        <v>3182.6590000000001</v>
      </c>
      <c r="CF58" s="49">
        <v>2806.0770000000002</v>
      </c>
      <c r="CG58" s="49">
        <v>3188.5909999999999</v>
      </c>
      <c r="CH58" s="49">
        <v>2943.2080000000001</v>
      </c>
      <c r="CI58" s="49">
        <v>3224.51</v>
      </c>
      <c r="CJ58" s="49">
        <v>2975.1029764780978</v>
      </c>
    </row>
    <row r="59" spans="1:88" ht="20.149999999999999" customHeight="1" x14ac:dyDescent="0.25">
      <c r="A59" s="12" t="s">
        <v>51</v>
      </c>
      <c r="B59" s="49">
        <v>2208.9358539498648</v>
      </c>
      <c r="C59" s="49">
        <v>2371.4106872753946</v>
      </c>
      <c r="D59" s="49">
        <v>2154.8932028394042</v>
      </c>
      <c r="E59" s="49">
        <v>2413.0676215354219</v>
      </c>
      <c r="F59" s="49">
        <v>2546.4935273544752</v>
      </c>
      <c r="G59" s="49">
        <v>2658.146822865267</v>
      </c>
      <c r="H59" s="49">
        <v>2322.6219591778772</v>
      </c>
      <c r="I59" s="49">
        <v>2701.1942483482721</v>
      </c>
      <c r="J59" s="49">
        <v>2677.6140603974468</v>
      </c>
      <c r="K59" s="49">
        <v>2706.2596953647158</v>
      </c>
      <c r="L59" s="13">
        <v>2529.3984947458534</v>
      </c>
      <c r="M59" s="13">
        <v>2785.0267540609439</v>
      </c>
      <c r="N59" s="13">
        <v>2913.072335557024</v>
      </c>
      <c r="O59" s="13">
        <v>3016.237836523595</v>
      </c>
      <c r="P59" s="13">
        <v>2852.7900818755456</v>
      </c>
      <c r="Q59" s="13">
        <v>3084.2205389040773</v>
      </c>
      <c r="R59" s="56">
        <f t="shared" si="32"/>
        <v>3126.8450825538457</v>
      </c>
      <c r="S59" s="14">
        <v>3169.4696262036141</v>
      </c>
      <c r="T59" s="13">
        <v>2878.0172329913503</v>
      </c>
      <c r="U59" s="13">
        <v>3241.1454175638664</v>
      </c>
      <c r="V59" s="13">
        <v>3283.4621287296327</v>
      </c>
      <c r="W59" s="13">
        <v>3269.7123649169871</v>
      </c>
      <c r="X59" s="13">
        <v>3224.1705999620149</v>
      </c>
      <c r="Y59" s="13">
        <v>3401.0579634765368</v>
      </c>
      <c r="Z59" s="13">
        <v>3399.8316548032594</v>
      </c>
      <c r="AA59" s="13">
        <v>3398.0333180988487</v>
      </c>
      <c r="AB59" s="13">
        <v>3237.1417055314878</v>
      </c>
      <c r="AC59" s="13">
        <v>3471.4129450572786</v>
      </c>
      <c r="AD59" s="13">
        <v>3450.5962710868121</v>
      </c>
      <c r="AE59" s="13">
        <v>3635.6878211004164</v>
      </c>
      <c r="AF59" s="13">
        <v>3383.2813299021946</v>
      </c>
      <c r="AG59" s="13">
        <v>3772.3200737659422</v>
      </c>
      <c r="AH59" s="13">
        <v>3663.5722581641749</v>
      </c>
      <c r="AI59" s="13">
        <v>3708.9293452454967</v>
      </c>
      <c r="AJ59" s="13">
        <v>3454.3509828252286</v>
      </c>
      <c r="AK59" s="13">
        <v>3656.7941594042413</v>
      </c>
      <c r="AL59" s="13">
        <v>3799.8617400294738</v>
      </c>
      <c r="AM59" s="13">
        <v>3808.0231057897968</v>
      </c>
      <c r="AN59" s="13">
        <v>3567.8496724820302</v>
      </c>
      <c r="AO59" s="13">
        <v>3947.2920108631147</v>
      </c>
      <c r="AP59" s="13">
        <v>3862.6171894634026</v>
      </c>
      <c r="AQ59" s="13">
        <v>3934.7281555535537</v>
      </c>
      <c r="AR59" s="13">
        <v>3686.554256581248</v>
      </c>
      <c r="AS59" s="13">
        <v>3758.6132189195819</v>
      </c>
      <c r="AT59" s="13">
        <v>3817.8858441937218</v>
      </c>
      <c r="AU59" s="13">
        <v>3938.7350044860273</v>
      </c>
      <c r="AV59" s="13">
        <v>3565.781948738133</v>
      </c>
      <c r="AW59" s="13">
        <v>3962.8543132655068</v>
      </c>
      <c r="AX59" s="56">
        <f t="shared" si="33"/>
        <v>3849.1967235363527</v>
      </c>
      <c r="AY59" s="56">
        <f t="shared" si="34"/>
        <v>3792.3679286717761</v>
      </c>
      <c r="AZ59" s="56">
        <f t="shared" si="35"/>
        <v>3763.9535312394873</v>
      </c>
      <c r="BA59" s="34">
        <v>3735.5391338071991</v>
      </c>
      <c r="BB59" s="13">
        <v>3950.1465017717828</v>
      </c>
      <c r="BC59" s="13">
        <v>3881.622688869144</v>
      </c>
      <c r="BD59" s="13">
        <v>2263.667172078528</v>
      </c>
      <c r="BE59" s="13">
        <v>3683.6332456567934</v>
      </c>
      <c r="BF59" s="13">
        <v>3900.7419266920874</v>
      </c>
      <c r="BG59" s="13">
        <v>3973.2642087715562</v>
      </c>
      <c r="BH59" s="13">
        <v>3699.054726766813</v>
      </c>
      <c r="BI59" s="13">
        <v>3822.2598175649532</v>
      </c>
      <c r="BJ59" s="13">
        <v>4000.7361852547924</v>
      </c>
      <c r="BK59" s="49">
        <v>3913.8760130644696</v>
      </c>
      <c r="BL59" s="49">
        <v>2336.5459999999998</v>
      </c>
      <c r="BM59" s="49">
        <v>3834.741</v>
      </c>
      <c r="BN59" s="49">
        <v>3919.5504270656525</v>
      </c>
      <c r="BO59" s="49">
        <v>3994.3249999999998</v>
      </c>
      <c r="BP59" s="49">
        <v>3531.13</v>
      </c>
      <c r="BQ59" s="49">
        <v>2110.2840000000001</v>
      </c>
      <c r="BR59" s="49">
        <v>2960.7559999999999</v>
      </c>
      <c r="BS59" s="49">
        <v>3302.2809999999999</v>
      </c>
      <c r="BT59" s="49">
        <v>3663.3879999999999</v>
      </c>
      <c r="BU59" s="49">
        <v>3755.2330000000002</v>
      </c>
      <c r="BV59" s="49">
        <v>4042.8049999999998</v>
      </c>
      <c r="BW59" s="49">
        <v>4286.1059999999998</v>
      </c>
      <c r="BX59" s="49">
        <v>3984.15</v>
      </c>
      <c r="BY59" s="49">
        <v>4262.9219999999996</v>
      </c>
      <c r="BZ59" s="49">
        <v>4429.9290000000001</v>
      </c>
      <c r="CA59" s="49">
        <v>4476.6440000000002</v>
      </c>
      <c r="CB59" s="49">
        <v>4305.58</v>
      </c>
      <c r="CC59" s="49">
        <v>4338.8029999999999</v>
      </c>
      <c r="CD59" s="49">
        <v>4598.134</v>
      </c>
      <c r="CE59" s="49">
        <v>4489.8429999999998</v>
      </c>
      <c r="CF59" s="49">
        <v>4016.3890000000001</v>
      </c>
      <c r="CG59" s="49">
        <v>4469.6260000000002</v>
      </c>
      <c r="CH59" s="49">
        <v>4738.6559999999999</v>
      </c>
      <c r="CI59" s="49">
        <v>4724.3580000000002</v>
      </c>
      <c r="CJ59" s="49">
        <v>4259.9430222164065</v>
      </c>
    </row>
    <row r="60" spans="1:88" ht="20.149999999999999" customHeight="1" x14ac:dyDescent="0.25">
      <c r="A60" s="12" t="s">
        <v>52</v>
      </c>
      <c r="B60" s="49">
        <v>2016.8345394862245</v>
      </c>
      <c r="C60" s="49">
        <v>2075.998923481905</v>
      </c>
      <c r="D60" s="49">
        <v>2126.9760927079246</v>
      </c>
      <c r="E60" s="49">
        <v>2173.0239559241309</v>
      </c>
      <c r="F60" s="49">
        <v>2230.0943287528694</v>
      </c>
      <c r="G60" s="49">
        <v>2248.1591719736007</v>
      </c>
      <c r="H60" s="49">
        <v>2237.3501244517774</v>
      </c>
      <c r="I60" s="49">
        <v>2348.3469248017213</v>
      </c>
      <c r="J60" s="49">
        <v>2493.9398722398996</v>
      </c>
      <c r="K60" s="49">
        <v>2492.0111829162679</v>
      </c>
      <c r="L60" s="13">
        <v>2391.509838915541</v>
      </c>
      <c r="M60" s="13">
        <v>2535.6026283918109</v>
      </c>
      <c r="N60" s="13">
        <v>2560.8817429238729</v>
      </c>
      <c r="O60" s="13">
        <v>2544.091827165731</v>
      </c>
      <c r="P60" s="13">
        <v>2419.135460145093</v>
      </c>
      <c r="Q60" s="13">
        <v>2627.8926108211081</v>
      </c>
      <c r="R60" s="56">
        <f t="shared" si="32"/>
        <v>2636.8815137185293</v>
      </c>
      <c r="S60" s="14">
        <v>2645.8704166159505</v>
      </c>
      <c r="T60" s="13">
        <v>2539.6529846447847</v>
      </c>
      <c r="U60" s="13">
        <v>2758.4241439815314</v>
      </c>
      <c r="V60" s="13">
        <v>2772.4123682851186</v>
      </c>
      <c r="W60" s="13">
        <v>2674.6748008560694</v>
      </c>
      <c r="X60" s="13">
        <v>2543.8974976478912</v>
      </c>
      <c r="Y60" s="13">
        <v>2518.9567998054986</v>
      </c>
      <c r="Z60" s="13">
        <v>2643.3409262599644</v>
      </c>
      <c r="AA60" s="13">
        <v>2638.5703478613905</v>
      </c>
      <c r="AB60" s="13">
        <v>2545.5208942779782</v>
      </c>
      <c r="AC60" s="13">
        <v>2599.7349755280948</v>
      </c>
      <c r="AD60" s="13">
        <v>2677.593287748407</v>
      </c>
      <c r="AE60" s="13">
        <v>2676.3002009520133</v>
      </c>
      <c r="AF60" s="13">
        <v>2530.0981708421427</v>
      </c>
      <c r="AG60" s="13">
        <v>2710.579153260775</v>
      </c>
      <c r="AH60" s="13">
        <v>2815.0210028879028</v>
      </c>
      <c r="AI60" s="13">
        <v>2766.288729709951</v>
      </c>
      <c r="AJ60" s="13">
        <v>2557.6482368223851</v>
      </c>
      <c r="AK60" s="13">
        <v>2667.5409250550688</v>
      </c>
      <c r="AL60" s="13">
        <v>2649.019256422388</v>
      </c>
      <c r="AM60" s="13">
        <v>2726.6480451603543</v>
      </c>
      <c r="AN60" s="13">
        <v>2596.6036070834889</v>
      </c>
      <c r="AO60" s="13">
        <v>2621.2192925101758</v>
      </c>
      <c r="AP60" s="13">
        <v>2628.4185714840846</v>
      </c>
      <c r="AQ60" s="13">
        <v>2699.1057978674326</v>
      </c>
      <c r="AR60" s="13">
        <v>2552.4684825596701</v>
      </c>
      <c r="AS60" s="13">
        <v>2483.1616905417254</v>
      </c>
      <c r="AT60" s="13">
        <v>2568.4284082645113</v>
      </c>
      <c r="AU60" s="13">
        <v>2475.6810585326725</v>
      </c>
      <c r="AV60" s="13">
        <v>2557.8144779613394</v>
      </c>
      <c r="AW60" s="13">
        <v>2489.3140297072409</v>
      </c>
      <c r="AX60" s="56">
        <f t="shared" si="33"/>
        <v>2441.0913418336918</v>
      </c>
      <c r="AY60" s="56">
        <f t="shared" si="34"/>
        <v>2416.9799978969172</v>
      </c>
      <c r="AZ60" s="56">
        <f t="shared" si="35"/>
        <v>2404.9243259285299</v>
      </c>
      <c r="BA60" s="34">
        <v>2392.8686539601426</v>
      </c>
      <c r="BB60" s="13">
        <v>2553.2305279603211</v>
      </c>
      <c r="BC60" s="13">
        <v>2541.7452308015095</v>
      </c>
      <c r="BD60" s="13">
        <v>3590.742963642087</v>
      </c>
      <c r="BE60" s="13">
        <v>2548.8262309933079</v>
      </c>
      <c r="BF60" s="13">
        <v>2616.9683148099157</v>
      </c>
      <c r="BG60" s="13">
        <v>2615.5544127334188</v>
      </c>
      <c r="BH60" s="13">
        <v>2484.4341245883088</v>
      </c>
      <c r="BI60" s="13">
        <v>2453.175362546262</v>
      </c>
      <c r="BJ60" s="13">
        <v>2491.5662552569293</v>
      </c>
      <c r="BK60" s="49">
        <v>2588.4486689234318</v>
      </c>
      <c r="BL60" s="49">
        <v>3680.1880000000001</v>
      </c>
      <c r="BM60" s="49">
        <v>2363.7139999999999</v>
      </c>
      <c r="BN60" s="49">
        <v>2402.0945547692613</v>
      </c>
      <c r="BO60" s="49">
        <v>2525.6930000000002</v>
      </c>
      <c r="BP60" s="49">
        <v>2230.9789999999998</v>
      </c>
      <c r="BQ60" s="49">
        <v>2244.77</v>
      </c>
      <c r="BR60" s="49">
        <v>1743.8820000000001</v>
      </c>
      <c r="BS60" s="49">
        <v>2272.9549999999999</v>
      </c>
      <c r="BT60" s="49">
        <v>2156.8960000000002</v>
      </c>
      <c r="BU60" s="49">
        <v>2232.6990000000001</v>
      </c>
      <c r="BV60" s="49">
        <v>2420.2559999999999</v>
      </c>
      <c r="BW60" s="49">
        <v>2479.63</v>
      </c>
      <c r="BX60" s="49">
        <v>2421.02</v>
      </c>
      <c r="BY60" s="49">
        <v>2489.098</v>
      </c>
      <c r="BZ60" s="49">
        <v>2598.6390000000001</v>
      </c>
      <c r="CA60" s="49">
        <v>2611.886</v>
      </c>
      <c r="CB60" s="49">
        <v>2574.7310000000002</v>
      </c>
      <c r="CC60" s="49">
        <v>2612.1909999999998</v>
      </c>
      <c r="CD60" s="49">
        <v>2721.7779999999998</v>
      </c>
      <c r="CE60" s="49">
        <v>2880.6930000000002</v>
      </c>
      <c r="CF60" s="49">
        <v>2488.02</v>
      </c>
      <c r="CG60" s="49">
        <v>2547.7370000000001</v>
      </c>
      <c r="CH60" s="49">
        <v>2720.114</v>
      </c>
      <c r="CI60" s="49">
        <v>2777.5340000000001</v>
      </c>
      <c r="CJ60" s="49">
        <v>2509.3103216057343</v>
      </c>
    </row>
    <row r="61" spans="1:88" ht="20.149999999999999" customHeight="1" x14ac:dyDescent="0.25">
      <c r="A61" s="12" t="s">
        <v>53</v>
      </c>
      <c r="B61" s="49">
        <v>1003.0918027532612</v>
      </c>
      <c r="C61" s="49">
        <v>997.22758062740411</v>
      </c>
      <c r="D61" s="49">
        <v>1083.8426730897261</v>
      </c>
      <c r="E61" s="49">
        <v>993.65711941154643</v>
      </c>
      <c r="F61" s="49">
        <v>968.86953181004503</v>
      </c>
      <c r="G61" s="49">
        <v>1056.654682264523</v>
      </c>
      <c r="H61" s="49">
        <v>1005.2993218167179</v>
      </c>
      <c r="I61" s="49">
        <v>999.98839108049276</v>
      </c>
      <c r="J61" s="49">
        <v>1017.7222026216961</v>
      </c>
      <c r="K61" s="49">
        <v>1103.7507136973891</v>
      </c>
      <c r="L61" s="13">
        <v>1036.8932935538717</v>
      </c>
      <c r="M61" s="13">
        <v>1012.2938485904884</v>
      </c>
      <c r="N61" s="13">
        <v>977.41265492995797</v>
      </c>
      <c r="O61" s="13">
        <v>1027.3905846884054</v>
      </c>
      <c r="P61" s="13">
        <v>1004.0407992917112</v>
      </c>
      <c r="Q61" s="13">
        <v>966.17586098390564</v>
      </c>
      <c r="R61" s="56">
        <f t="shared" si="32"/>
        <v>1015.0981066434226</v>
      </c>
      <c r="S61" s="14">
        <v>1064.0203523029395</v>
      </c>
      <c r="T61" s="13">
        <v>1040.5078436931765</v>
      </c>
      <c r="U61" s="13">
        <v>958.11948997603622</v>
      </c>
      <c r="V61" s="13">
        <v>851.97445732312963</v>
      </c>
      <c r="W61" s="13">
        <v>919.78624539310022</v>
      </c>
      <c r="X61" s="13">
        <v>874.06403051722486</v>
      </c>
      <c r="Y61" s="13">
        <v>839.41288480127241</v>
      </c>
      <c r="Z61" s="13">
        <v>897.37373682650514</v>
      </c>
      <c r="AA61" s="13">
        <v>935.51770160884553</v>
      </c>
      <c r="AB61" s="13">
        <v>846.70313745940018</v>
      </c>
      <c r="AC61" s="13">
        <v>879.21231800866929</v>
      </c>
      <c r="AD61" s="13">
        <v>867.90676600316863</v>
      </c>
      <c r="AE61" s="13">
        <v>867.68447033677921</v>
      </c>
      <c r="AF61" s="13">
        <v>841.61171933702371</v>
      </c>
      <c r="AG61" s="13">
        <v>864.37241731744678</v>
      </c>
      <c r="AH61" s="13">
        <v>835.60109557326098</v>
      </c>
      <c r="AI61" s="13">
        <v>838.97831967083607</v>
      </c>
      <c r="AJ61" s="13">
        <v>798.40311616877705</v>
      </c>
      <c r="AK61" s="13">
        <v>832.10788722687164</v>
      </c>
      <c r="AL61" s="13">
        <v>786.46866366827589</v>
      </c>
      <c r="AM61" s="13">
        <v>839.27713715711468</v>
      </c>
      <c r="AN61" s="13">
        <v>767.19934290681965</v>
      </c>
      <c r="AO61" s="13">
        <v>736.80082112907405</v>
      </c>
      <c r="AP61" s="13">
        <v>739.40964734760257</v>
      </c>
      <c r="AQ61" s="13">
        <v>753.77445939132235</v>
      </c>
      <c r="AR61" s="13">
        <v>700.92097370841668</v>
      </c>
      <c r="AS61" s="13">
        <v>688.24394742288405</v>
      </c>
      <c r="AT61" s="13">
        <v>651.18772184187912</v>
      </c>
      <c r="AU61" s="13">
        <v>714.56425480945484</v>
      </c>
      <c r="AV61" s="13">
        <v>690.24868825646217</v>
      </c>
      <c r="AW61" s="13">
        <v>643.56869645499671</v>
      </c>
      <c r="AX61" s="56">
        <f t="shared" si="33"/>
        <v>671.6237110058139</v>
      </c>
      <c r="AY61" s="56">
        <f t="shared" si="34"/>
        <v>685.65121828122255</v>
      </c>
      <c r="AZ61" s="56">
        <f t="shared" si="35"/>
        <v>692.66497191892677</v>
      </c>
      <c r="BA61" s="34">
        <v>699.67872555663109</v>
      </c>
      <c r="BB61" s="13">
        <v>725.87217774064698</v>
      </c>
      <c r="BC61" s="13">
        <v>683.61772188106784</v>
      </c>
      <c r="BD61" s="13">
        <v>2445.520781702724</v>
      </c>
      <c r="BE61" s="13">
        <v>644.77655087030996</v>
      </c>
      <c r="BF61" s="13">
        <v>690.30757504709561</v>
      </c>
      <c r="BG61" s="13">
        <v>736.51321493549995</v>
      </c>
      <c r="BH61" s="13">
        <v>736.56856272751179</v>
      </c>
      <c r="BI61" s="13">
        <v>688.97920953895505</v>
      </c>
      <c r="BJ61" s="13">
        <v>720.72275753670215</v>
      </c>
      <c r="BK61" s="49">
        <v>678.28664471753382</v>
      </c>
      <c r="BL61" s="49">
        <v>2328.3240000000001</v>
      </c>
      <c r="BM61" s="49">
        <v>630.65</v>
      </c>
      <c r="BN61" s="49">
        <v>667.68778818348471</v>
      </c>
      <c r="BO61" s="49">
        <v>719.98400000000004</v>
      </c>
      <c r="BP61" s="49">
        <v>632.31100000000004</v>
      </c>
      <c r="BQ61" s="49">
        <v>1247.8119999999999</v>
      </c>
      <c r="BR61" s="49">
        <v>437.01400000000001</v>
      </c>
      <c r="BS61" s="49">
        <v>508.00200000000001</v>
      </c>
      <c r="BT61" s="49">
        <v>609.44799999999998</v>
      </c>
      <c r="BU61" s="49">
        <v>631.577</v>
      </c>
      <c r="BV61" s="49">
        <v>576.92999999999995</v>
      </c>
      <c r="BW61" s="49">
        <v>658.54</v>
      </c>
      <c r="BX61" s="49">
        <v>631.48400000000004</v>
      </c>
      <c r="BY61" s="49">
        <v>704.91099999999994</v>
      </c>
      <c r="BZ61" s="49">
        <v>750.298</v>
      </c>
      <c r="CA61" s="49">
        <v>725.26</v>
      </c>
      <c r="CB61" s="49">
        <v>689.31600000000003</v>
      </c>
      <c r="CC61" s="49">
        <v>638.54700000000003</v>
      </c>
      <c r="CD61" s="49">
        <v>688.72400000000005</v>
      </c>
      <c r="CE61" s="49">
        <v>726.077</v>
      </c>
      <c r="CF61" s="49">
        <v>627.97199999999998</v>
      </c>
      <c r="CG61" s="49">
        <v>528.98500000000001</v>
      </c>
      <c r="CH61" s="49">
        <v>544.32000000000005</v>
      </c>
      <c r="CI61" s="49">
        <v>612.94299999999998</v>
      </c>
      <c r="CJ61" s="49">
        <v>626.97439212424649</v>
      </c>
    </row>
    <row r="62" spans="1:88" ht="20.149999999999999" customHeight="1" x14ac:dyDescent="0.25">
      <c r="A62" s="12" t="s">
        <v>54</v>
      </c>
      <c r="B62" s="49">
        <v>248.21402255029599</v>
      </c>
      <c r="C62" s="49">
        <v>214.77072628704261</v>
      </c>
      <c r="D62" s="49">
        <v>664.20234223873831</v>
      </c>
      <c r="E62" s="49">
        <v>206.40664304098959</v>
      </c>
      <c r="F62" s="49">
        <v>283.61683794563453</v>
      </c>
      <c r="G62" s="49">
        <v>205.2442050267932</v>
      </c>
      <c r="H62" s="49">
        <v>883.2595988230687</v>
      </c>
      <c r="I62" s="49">
        <v>199.98215488944592</v>
      </c>
      <c r="J62" s="49">
        <v>282.19101569396281</v>
      </c>
      <c r="K62" s="49">
        <v>252.20345071857116</v>
      </c>
      <c r="L62" s="13">
        <v>885.86284207575636</v>
      </c>
      <c r="M62" s="13">
        <v>221.25295608966982</v>
      </c>
      <c r="N62" s="13">
        <v>308.14490866200913</v>
      </c>
      <c r="O62" s="13">
        <v>286.67401367476509</v>
      </c>
      <c r="P62" s="13">
        <v>1019.2438718215755</v>
      </c>
      <c r="Q62" s="13">
        <v>252.30501716352893</v>
      </c>
      <c r="R62" s="56">
        <f t="shared" si="32"/>
        <v>251.93051123854701</v>
      </c>
      <c r="S62" s="14">
        <v>251.55600531356512</v>
      </c>
      <c r="T62" s="13">
        <v>914.57971345506371</v>
      </c>
      <c r="U62" s="13">
        <v>219.85884220870167</v>
      </c>
      <c r="V62" s="13">
        <v>292.49430580681093</v>
      </c>
      <c r="W62" s="13">
        <v>303.90575733593511</v>
      </c>
      <c r="X62" s="13">
        <v>947.03917129061415</v>
      </c>
      <c r="Y62" s="13">
        <v>240.80949112682367</v>
      </c>
      <c r="Z62" s="13">
        <v>0</v>
      </c>
      <c r="AA62" s="13">
        <v>282.71193173561829</v>
      </c>
      <c r="AB62" s="13">
        <v>947.74387517281593</v>
      </c>
      <c r="AC62" s="13">
        <v>252.41691056324541</v>
      </c>
      <c r="AD62" s="13">
        <v>309.86471048043319</v>
      </c>
      <c r="AE62" s="13">
        <v>259.91377241591744</v>
      </c>
      <c r="AF62" s="13">
        <v>944.36206705323798</v>
      </c>
      <c r="AG62" s="13">
        <v>237.73474270133408</v>
      </c>
      <c r="AH62" s="13">
        <v>340.43764576490474</v>
      </c>
      <c r="AI62" s="13">
        <v>260.56062533229442</v>
      </c>
      <c r="AJ62" s="13">
        <v>986.91765542108101</v>
      </c>
      <c r="AK62" s="13">
        <v>266.88987698561255</v>
      </c>
      <c r="AL62" s="13">
        <v>329.38516992948479</v>
      </c>
      <c r="AM62" s="13">
        <v>270.30526302910823</v>
      </c>
      <c r="AN62" s="13">
        <v>933.40787476662183</v>
      </c>
      <c r="AO62" s="13">
        <v>241.94359843100054</v>
      </c>
      <c r="AP62" s="13">
        <v>396.46357509183741</v>
      </c>
      <c r="AQ62" s="13">
        <v>341.091770629601</v>
      </c>
      <c r="AR62" s="13">
        <v>972.8248892857971</v>
      </c>
      <c r="AS62" s="13">
        <v>285.41289030317506</v>
      </c>
      <c r="AT62" s="13">
        <v>331.5148660316903</v>
      </c>
      <c r="AU62" s="13">
        <v>329.75753635477156</v>
      </c>
      <c r="AV62" s="13">
        <v>950.47914579857172</v>
      </c>
      <c r="AW62" s="13">
        <v>240.28157226921201</v>
      </c>
      <c r="AX62" s="56">
        <f t="shared" si="33"/>
        <v>306.04101914996352</v>
      </c>
      <c r="AY62" s="56">
        <f t="shared" si="34"/>
        <v>338.92074259033927</v>
      </c>
      <c r="AZ62" s="56">
        <f t="shared" si="35"/>
        <v>355.36060431052715</v>
      </c>
      <c r="BA62" s="34">
        <v>371.80046603071497</v>
      </c>
      <c r="BB62" s="31">
        <v>363.57100165215883</v>
      </c>
      <c r="BC62" s="31">
        <v>348.75068254325458</v>
      </c>
      <c r="BD62" s="31">
        <v>698.3192059300153</v>
      </c>
      <c r="BE62" s="31">
        <v>316.88726950343118</v>
      </c>
      <c r="BF62" s="31">
        <v>419.84940834761142</v>
      </c>
      <c r="BG62" s="31">
        <v>309.0851508857462</v>
      </c>
      <c r="BH62" s="31">
        <v>1147.7657118484403</v>
      </c>
      <c r="BI62" s="31">
        <v>350.71847427853697</v>
      </c>
      <c r="BJ62" s="31">
        <v>425.59252081771047</v>
      </c>
      <c r="BK62" s="31">
        <v>335.6832844969681</v>
      </c>
      <c r="BL62" s="31">
        <v>721.06100000000004</v>
      </c>
      <c r="BM62" s="31">
        <v>339.56700000000001</v>
      </c>
      <c r="BN62" s="31">
        <v>430.92589129246858</v>
      </c>
      <c r="BO62" s="31">
        <v>332.24599999999998</v>
      </c>
      <c r="BP62" s="31">
        <v>1267.5889999999999</v>
      </c>
      <c r="BQ62" s="31">
        <v>344.358</v>
      </c>
      <c r="BR62" s="31">
        <v>1117.4690000000001</v>
      </c>
      <c r="BS62" s="31">
        <v>729.83399999999995</v>
      </c>
      <c r="BT62" s="31">
        <v>1237.481</v>
      </c>
      <c r="BU62" s="31">
        <v>613.69000000000005</v>
      </c>
      <c r="BV62" s="31">
        <v>594.29499999999996</v>
      </c>
      <c r="BW62" s="31">
        <v>342.834</v>
      </c>
      <c r="BX62" s="31">
        <v>1317.722</v>
      </c>
      <c r="BY62" s="31">
        <v>304.07499999999999</v>
      </c>
      <c r="BZ62" s="31">
        <v>417.43400000000003</v>
      </c>
      <c r="CA62" s="31">
        <v>352.98500000000001</v>
      </c>
      <c r="CB62" s="31">
        <v>1146.413</v>
      </c>
      <c r="CC62" s="31">
        <v>379.303</v>
      </c>
      <c r="CD62" s="31">
        <v>461.839</v>
      </c>
      <c r="CE62" s="31">
        <v>314.11099999999999</v>
      </c>
      <c r="CF62" s="31">
        <v>1314.471</v>
      </c>
      <c r="CG62" s="31">
        <v>384.91300000000001</v>
      </c>
      <c r="CH62" s="31">
        <v>452.70299999999997</v>
      </c>
      <c r="CI62" s="31">
        <v>360.58800000000002</v>
      </c>
      <c r="CJ62" s="31">
        <v>1091.1267228240135</v>
      </c>
    </row>
    <row r="63" spans="1:88" ht="20.149999999999999" customHeight="1" thickBot="1" x14ac:dyDescent="0.3">
      <c r="A63" s="15" t="s">
        <v>61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40"/>
      <c r="S63" s="15"/>
      <c r="T63" s="15"/>
      <c r="U63" s="15"/>
      <c r="V63" s="15"/>
      <c r="W63" s="15"/>
      <c r="X63" s="15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40"/>
      <c r="AY63" s="40"/>
      <c r="AZ63" s="40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</row>
    <row r="64" spans="1:88" ht="20.149999999999999" customHeight="1" x14ac:dyDescent="0.25">
      <c r="A64" s="12" t="s">
        <v>67</v>
      </c>
      <c r="B64" s="49">
        <v>1453.4598811410192</v>
      </c>
      <c r="C64" s="49">
        <v>1507.1866501102588</v>
      </c>
      <c r="D64" s="49">
        <v>1502.3221897608755</v>
      </c>
      <c r="E64" s="49">
        <v>1451.6755489792297</v>
      </c>
      <c r="F64" s="49">
        <v>1545.5337014685178</v>
      </c>
      <c r="G64" s="49">
        <v>1629.5565310125485</v>
      </c>
      <c r="H64" s="49">
        <v>1566.980344335876</v>
      </c>
      <c r="I64" s="49">
        <v>1534.3245341384384</v>
      </c>
      <c r="J64" s="49">
        <v>1683.2104312634347</v>
      </c>
      <c r="K64" s="49">
        <v>1714.5380024002416</v>
      </c>
      <c r="L64" s="13">
        <v>1646.9220406297736</v>
      </c>
      <c r="M64" s="13">
        <v>1655.5169694926583</v>
      </c>
      <c r="N64" s="13">
        <v>1740.0031174229835</v>
      </c>
      <c r="O64" s="13">
        <v>1833.1546783429565</v>
      </c>
      <c r="P64" s="13">
        <v>1790.8054148087037</v>
      </c>
      <c r="Q64" s="13">
        <v>1806.6743972018201</v>
      </c>
      <c r="R64" s="56">
        <f t="shared" ref="R64:R68" si="36">+(Q64+S64)/2</f>
        <v>1832.9527985936256</v>
      </c>
      <c r="S64" s="14">
        <v>1859.2311999854312</v>
      </c>
      <c r="T64" s="13">
        <v>1848.7977817824981</v>
      </c>
      <c r="U64" s="13">
        <v>1824.0968540223794</v>
      </c>
      <c r="V64" s="13">
        <v>1922.2515990958627</v>
      </c>
      <c r="W64" s="13">
        <v>1920.7254435626176</v>
      </c>
      <c r="X64" s="13">
        <v>1973.7499581457953</v>
      </c>
      <c r="Y64" s="13">
        <v>1901.1649307869272</v>
      </c>
      <c r="Z64" s="13">
        <v>1943.0607798917999</v>
      </c>
      <c r="AA64" s="13">
        <v>1959.0419393287725</v>
      </c>
      <c r="AB64" s="13">
        <v>1906.3122841604193</v>
      </c>
      <c r="AC64" s="13">
        <v>1906.069033672745</v>
      </c>
      <c r="AD64" s="13">
        <v>1976.2953590216503</v>
      </c>
      <c r="AE64" s="13">
        <v>1912.2205639379099</v>
      </c>
      <c r="AF64" s="13">
        <v>1994.9279264006082</v>
      </c>
      <c r="AG64" s="13">
        <v>2033.9509760099056</v>
      </c>
      <c r="AH64" s="13">
        <v>1989.5238227017421</v>
      </c>
      <c r="AI64" s="13">
        <v>1952.8362564436504</v>
      </c>
      <c r="AJ64" s="13">
        <v>2012.6674898414394</v>
      </c>
      <c r="AK64" s="13">
        <v>2057.9449492463623</v>
      </c>
      <c r="AL64" s="13">
        <v>2080.8469619569541</v>
      </c>
      <c r="AM64" s="13">
        <v>2066.2331507870258</v>
      </c>
      <c r="AN64" s="13">
        <v>2048.934288817296</v>
      </c>
      <c r="AO64" s="13">
        <v>2088.6367332533878</v>
      </c>
      <c r="AP64" s="13">
        <v>2074.324003098237</v>
      </c>
      <c r="AQ64" s="13">
        <v>2053.1834159645</v>
      </c>
      <c r="AR64" s="13">
        <v>2037.5253174166478</v>
      </c>
      <c r="AS64" s="13">
        <v>1929.0464929164245</v>
      </c>
      <c r="AT64" s="13">
        <v>1946.723626677777</v>
      </c>
      <c r="AU64" s="13">
        <v>2008.25259590882</v>
      </c>
      <c r="AV64" s="13">
        <v>1998.8570316395706</v>
      </c>
      <c r="AW64" s="13">
        <v>2007.3049299640181</v>
      </c>
      <c r="AX64" s="56">
        <f t="shared" ref="AX64:AX68" si="37">+(AW64+BA64)/2</f>
        <v>2095.8513562163594</v>
      </c>
      <c r="AY64" s="56">
        <f t="shared" ref="AY64:AY68" si="38">+(AX64+BA64)/2</f>
        <v>2140.1245693425299</v>
      </c>
      <c r="AZ64" s="56">
        <f t="shared" ref="AZ64:AZ68" si="39">+(AY64+BA64)/2</f>
        <v>2162.2611759056153</v>
      </c>
      <c r="BA64" s="38">
        <v>2184.3977824687004</v>
      </c>
      <c r="BB64" s="13">
        <v>2262.2549758705404</v>
      </c>
      <c r="BC64" s="13">
        <v>2317.2869685681799</v>
      </c>
      <c r="BD64" s="13">
        <v>2224.2917561096519</v>
      </c>
      <c r="BE64" s="13">
        <v>2159.8996381819011</v>
      </c>
      <c r="BF64" s="13">
        <v>2305.5879532244608</v>
      </c>
      <c r="BG64" s="13">
        <v>2403.603449011066</v>
      </c>
      <c r="BH64" s="13">
        <v>2336.0163049011594</v>
      </c>
      <c r="BI64" s="13">
        <v>2303.1267313494473</v>
      </c>
      <c r="BJ64" s="13">
        <v>2308.618345196699</v>
      </c>
      <c r="BK64" s="49">
        <v>2226.3471253016178</v>
      </c>
      <c r="BL64" s="49">
        <v>2350.0709999999999</v>
      </c>
      <c r="BM64" s="49">
        <v>2219.2860000000001</v>
      </c>
      <c r="BN64" s="49">
        <v>2224.0404060792325</v>
      </c>
      <c r="BO64" s="49">
        <v>2279.752</v>
      </c>
      <c r="BP64" s="49">
        <v>2316.38</v>
      </c>
      <c r="BQ64" s="49">
        <v>1493.6320000000001</v>
      </c>
      <c r="BR64" s="49">
        <v>1822.3820000000001</v>
      </c>
      <c r="BS64" s="49">
        <v>1978.64</v>
      </c>
      <c r="BT64" s="49">
        <v>2212.1860000000001</v>
      </c>
      <c r="BU64" s="49">
        <v>2090.0830000000001</v>
      </c>
      <c r="BV64" s="49">
        <v>2214.9189999999999</v>
      </c>
      <c r="BW64" s="49">
        <v>2335.2370000000001</v>
      </c>
      <c r="BX64" s="49">
        <v>2222.847020254017</v>
      </c>
      <c r="BY64" s="49">
        <v>2373.7120820160935</v>
      </c>
      <c r="BZ64" s="49">
        <v>2471.2395708815138</v>
      </c>
      <c r="CA64" s="49">
        <v>2459.7891369396507</v>
      </c>
      <c r="CB64" s="49">
        <v>2531.2588367108156</v>
      </c>
      <c r="CC64" s="49">
        <v>2443.1251671526388</v>
      </c>
      <c r="CD64" s="49">
        <v>2487.5958225051718</v>
      </c>
      <c r="CE64" s="49">
        <v>2496.8953099999781</v>
      </c>
      <c r="CF64" s="49">
        <v>2466.8570719132545</v>
      </c>
      <c r="CG64" s="49">
        <v>2445.567945034074</v>
      </c>
      <c r="CH64" s="49">
        <v>2557.7467360197948</v>
      </c>
      <c r="CI64" s="49">
        <v>2500.2731911388164</v>
      </c>
      <c r="CJ64" s="49">
        <v>2379.0766890826367</v>
      </c>
    </row>
    <row r="65" spans="1:88" ht="20.149999999999999" customHeight="1" x14ac:dyDescent="0.25">
      <c r="A65" s="12" t="s">
        <v>62</v>
      </c>
      <c r="B65" s="49">
        <v>1718.8584981590641</v>
      </c>
      <c r="C65" s="49">
        <v>1677.7522480602138</v>
      </c>
      <c r="D65" s="49">
        <v>1747.6064186473914</v>
      </c>
      <c r="E65" s="49">
        <v>1738.4477039280985</v>
      </c>
      <c r="F65" s="49">
        <v>1809.5414321040278</v>
      </c>
      <c r="G65" s="49">
        <v>1827.4775836165481</v>
      </c>
      <c r="H65" s="49">
        <v>1895.3288473029565</v>
      </c>
      <c r="I65" s="49">
        <v>1836.750250607621</v>
      </c>
      <c r="J65" s="49">
        <v>1877.3773800813842</v>
      </c>
      <c r="K65" s="49">
        <v>1920.6918966306175</v>
      </c>
      <c r="L65" s="13">
        <v>1890.2949806003367</v>
      </c>
      <c r="M65" s="13">
        <v>1999.1569341349389</v>
      </c>
      <c r="N65" s="13">
        <v>1989.0005964894945</v>
      </c>
      <c r="O65" s="13">
        <v>2051.5717222366943</v>
      </c>
      <c r="P65" s="13">
        <v>2055.1820294181762</v>
      </c>
      <c r="Q65" s="13">
        <v>2043.1457522655044</v>
      </c>
      <c r="R65" s="56">
        <f t="shared" si="36"/>
        <v>2003.8379991141605</v>
      </c>
      <c r="S65" s="14">
        <v>1964.5302459628169</v>
      </c>
      <c r="T65" s="13">
        <v>2044.8269465428903</v>
      </c>
      <c r="U65" s="13">
        <v>2000.2411735580258</v>
      </c>
      <c r="V65" s="13">
        <v>1976.5748440437337</v>
      </c>
      <c r="W65" s="13">
        <v>2027.9690481687849</v>
      </c>
      <c r="X65" s="13">
        <v>1977.4820048772092</v>
      </c>
      <c r="Y65" s="13">
        <v>2068.7796235215023</v>
      </c>
      <c r="Z65" s="13">
        <v>1919.7877314089749</v>
      </c>
      <c r="AA65" s="13">
        <v>1981.5197817119417</v>
      </c>
      <c r="AB65" s="13">
        <v>2046.5830937691935</v>
      </c>
      <c r="AC65" s="13">
        <v>2030.5675244518709</v>
      </c>
      <c r="AD65" s="13">
        <v>1972.150824684797</v>
      </c>
      <c r="AE65" s="13">
        <v>2056.0026943009116</v>
      </c>
      <c r="AF65" s="13">
        <v>2045.5574215038414</v>
      </c>
      <c r="AG65" s="13">
        <v>2113.2013582148743</v>
      </c>
      <c r="AH65" s="13">
        <v>2088.5872921534128</v>
      </c>
      <c r="AI65" s="13">
        <v>2230.3352875895816</v>
      </c>
      <c r="AJ65" s="13">
        <v>2057.6254936424871</v>
      </c>
      <c r="AK65" s="13">
        <v>2197.7602236198318</v>
      </c>
      <c r="AL65" s="13">
        <v>2194.9670697789852</v>
      </c>
      <c r="AM65" s="13">
        <v>2356.3768699048496</v>
      </c>
      <c r="AN65" s="13">
        <v>2120.1114216251517</v>
      </c>
      <c r="AO65" s="13">
        <v>2385.0252006820733</v>
      </c>
      <c r="AP65" s="13">
        <v>2247.1216376089897</v>
      </c>
      <c r="AQ65" s="13">
        <v>2266.662869604253</v>
      </c>
      <c r="AR65" s="13">
        <v>2256.0551227011242</v>
      </c>
      <c r="AS65" s="13">
        <v>2341.1388134697781</v>
      </c>
      <c r="AT65" s="13">
        <v>2274.5378088516277</v>
      </c>
      <c r="AU65" s="13">
        <v>2393.0592965712212</v>
      </c>
      <c r="AV65" s="13">
        <v>2256.5652035456528</v>
      </c>
      <c r="AW65" s="13">
        <v>2342.3110027318162</v>
      </c>
      <c r="AX65" s="56">
        <f t="shared" si="37"/>
        <v>2396.2783179876678</v>
      </c>
      <c r="AY65" s="56">
        <f t="shared" si="38"/>
        <v>2423.2619756155937</v>
      </c>
      <c r="AZ65" s="56">
        <f t="shared" si="39"/>
        <v>2436.7538044295566</v>
      </c>
      <c r="BA65" s="38">
        <v>2450.2456332435195</v>
      </c>
      <c r="BB65" s="13">
        <v>2307.7056616384316</v>
      </c>
      <c r="BC65" s="13">
        <v>2340.6311354941172</v>
      </c>
      <c r="BD65" s="13">
        <v>2340.0808427573852</v>
      </c>
      <c r="BE65" s="13">
        <v>2415.3130621861619</v>
      </c>
      <c r="BF65" s="13">
        <v>2373.3171798589874</v>
      </c>
      <c r="BG65" s="13">
        <v>2481.1218519198192</v>
      </c>
      <c r="BH65" s="13">
        <v>2288.1136870706741</v>
      </c>
      <c r="BI65" s="13">
        <v>2411.7862185704457</v>
      </c>
      <c r="BJ65" s="13">
        <v>2357.0720324647273</v>
      </c>
      <c r="BK65" s="49">
        <v>2351.7664188048443</v>
      </c>
      <c r="BL65" s="49">
        <v>2410.6219999999998</v>
      </c>
      <c r="BM65" s="49">
        <v>2370.1959999999999</v>
      </c>
      <c r="BN65" s="49">
        <v>2420.0558271779282</v>
      </c>
      <c r="BO65" s="49">
        <v>2413.9940000000001</v>
      </c>
      <c r="BP65" s="49">
        <v>2602.607</v>
      </c>
      <c r="BQ65" s="49">
        <v>1931.114</v>
      </c>
      <c r="BR65" s="49">
        <v>2330.7109999999998</v>
      </c>
      <c r="BS65" s="49">
        <v>2522.6610000000001</v>
      </c>
      <c r="BT65" s="49">
        <v>2501.6060000000002</v>
      </c>
      <c r="BU65" s="49">
        <v>2692.788</v>
      </c>
      <c r="BV65" s="49">
        <v>2517.2640000000001</v>
      </c>
      <c r="BW65" s="49">
        <v>2477.3649999999998</v>
      </c>
      <c r="BX65" s="49">
        <v>2521.4863714638777</v>
      </c>
      <c r="BY65" s="49">
        <v>2676.1295644871998</v>
      </c>
      <c r="BZ65" s="49">
        <v>2440.5962643812472</v>
      </c>
      <c r="CA65" s="49">
        <v>2554.8377620707793</v>
      </c>
      <c r="CB65" s="49">
        <v>2624.1291734743095</v>
      </c>
      <c r="CC65" s="49">
        <v>2562.1077321032772</v>
      </c>
      <c r="CD65" s="49">
        <v>2379.31892078905</v>
      </c>
      <c r="CE65" s="49">
        <v>2664.3013032623362</v>
      </c>
      <c r="CF65" s="49">
        <v>2582.4109856677619</v>
      </c>
      <c r="CG65" s="49">
        <v>2551.8681127278919</v>
      </c>
      <c r="CH65" s="49">
        <v>2521.5672930512505</v>
      </c>
      <c r="CI65" s="49">
        <v>2553.2980051152335</v>
      </c>
      <c r="CJ65" s="49">
        <v>2429.8526407534573</v>
      </c>
    </row>
    <row r="66" spans="1:88" ht="20.149999999999999" customHeight="1" x14ac:dyDescent="0.25">
      <c r="A66" s="12" t="s">
        <v>63</v>
      </c>
      <c r="B66" s="49">
        <v>1613.4348086876612</v>
      </c>
      <c r="C66" s="49">
        <v>1702.2597281167025</v>
      </c>
      <c r="D66" s="49">
        <v>1738.7165833401543</v>
      </c>
      <c r="E66" s="49">
        <v>1756.9394782696286</v>
      </c>
      <c r="F66" s="49">
        <v>1795.3145572844226</v>
      </c>
      <c r="G66" s="49">
        <v>1839.4797569226346</v>
      </c>
      <c r="H66" s="49">
        <v>1776.6690693512746</v>
      </c>
      <c r="I66" s="49">
        <v>1764.3738789480296</v>
      </c>
      <c r="J66" s="49">
        <v>1924.412111334799</v>
      </c>
      <c r="K66" s="49">
        <v>1917.0831384678261</v>
      </c>
      <c r="L66" s="13">
        <v>1896.7647792047408</v>
      </c>
      <c r="M66" s="13">
        <v>1867.5355490324919</v>
      </c>
      <c r="N66" s="13">
        <v>1870.668370609151</v>
      </c>
      <c r="O66" s="13">
        <v>1900.6773541954501</v>
      </c>
      <c r="P66" s="13">
        <v>1906.2974126659767</v>
      </c>
      <c r="Q66" s="13">
        <v>1872.737241967101</v>
      </c>
      <c r="R66" s="56">
        <f t="shared" si="36"/>
        <v>1909.4152716633926</v>
      </c>
      <c r="S66" s="14">
        <v>1946.0933013596839</v>
      </c>
      <c r="T66" s="13">
        <v>1871.4072755564484</v>
      </c>
      <c r="U66" s="13">
        <v>1944.3587432943611</v>
      </c>
      <c r="V66" s="13">
        <v>2012.969497891484</v>
      </c>
      <c r="W66" s="13">
        <v>2085.1466972149206</v>
      </c>
      <c r="X66" s="13">
        <v>2083.3084797138249</v>
      </c>
      <c r="Y66" s="13">
        <v>1901.9971876208306</v>
      </c>
      <c r="Z66" s="13">
        <v>2112.6087614385715</v>
      </c>
      <c r="AA66" s="13">
        <v>2054.5781191409319</v>
      </c>
      <c r="AB66" s="13">
        <v>2149.0211164821103</v>
      </c>
      <c r="AC66" s="13">
        <v>2110.8367721045997</v>
      </c>
      <c r="AD66" s="13">
        <v>2140.1413227943676</v>
      </c>
      <c r="AE66" s="13">
        <v>2073.7263179626339</v>
      </c>
      <c r="AF66" s="13">
        <v>2201.8874315683292</v>
      </c>
      <c r="AG66" s="13">
        <v>2166.8278021742158</v>
      </c>
      <c r="AH66" s="13">
        <v>2288.8894760440926</v>
      </c>
      <c r="AI66" s="13">
        <v>2153.0123783655567</v>
      </c>
      <c r="AJ66" s="13">
        <v>2165.9456990466801</v>
      </c>
      <c r="AK66" s="13">
        <v>2048.5130888584476</v>
      </c>
      <c r="AL66" s="13">
        <v>2161.6973662821283</v>
      </c>
      <c r="AM66" s="13">
        <v>2020.9556874790605</v>
      </c>
      <c r="AN66" s="13">
        <v>2176.802121754321</v>
      </c>
      <c r="AO66" s="13">
        <v>1975.2144808118237</v>
      </c>
      <c r="AP66" s="13">
        <v>2191.4345330513811</v>
      </c>
      <c r="AQ66" s="13">
        <v>2022.7553927797699</v>
      </c>
      <c r="AR66" s="13">
        <v>2119.0324695553836</v>
      </c>
      <c r="AS66" s="13">
        <v>1991.6126208659655</v>
      </c>
      <c r="AT66" s="13">
        <v>2142.106710088924</v>
      </c>
      <c r="AU66" s="13">
        <v>2028.9017569605378</v>
      </c>
      <c r="AV66" s="13">
        <v>2116.7884070531145</v>
      </c>
      <c r="AW66" s="13">
        <v>1992.7983067087343</v>
      </c>
      <c r="AX66" s="56">
        <f t="shared" si="37"/>
        <v>2018.1925192670737</v>
      </c>
      <c r="AY66" s="56">
        <f t="shared" si="38"/>
        <v>2030.8896255462432</v>
      </c>
      <c r="AZ66" s="56">
        <f t="shared" si="39"/>
        <v>2037.2381786858282</v>
      </c>
      <c r="BA66" s="38">
        <v>2043.5867318254129</v>
      </c>
      <c r="BB66" s="13">
        <v>2155.1497920197398</v>
      </c>
      <c r="BC66" s="13">
        <v>2155.851092108127</v>
      </c>
      <c r="BD66" s="13">
        <v>2204.3237258370759</v>
      </c>
      <c r="BE66" s="13">
        <v>2080.0788633546163</v>
      </c>
      <c r="BF66" s="13">
        <v>2385.6731049450377</v>
      </c>
      <c r="BG66" s="13">
        <v>2306.8484031445132</v>
      </c>
      <c r="BH66" s="13">
        <v>2454.9202205019878</v>
      </c>
      <c r="BI66" s="13">
        <v>2182.5515185585591</v>
      </c>
      <c r="BJ66" s="13">
        <v>2430.854709549581</v>
      </c>
      <c r="BK66" s="49">
        <v>2373.3095304766794</v>
      </c>
      <c r="BL66" s="49">
        <v>2289.5129999999999</v>
      </c>
      <c r="BM66" s="49">
        <v>2417.9319999999998</v>
      </c>
      <c r="BN66" s="49">
        <v>2598.2005898049679</v>
      </c>
      <c r="BO66" s="49">
        <v>2487.7379999999998</v>
      </c>
      <c r="BP66" s="49">
        <v>2550.634</v>
      </c>
      <c r="BQ66" s="49">
        <v>1900.3330000000001</v>
      </c>
      <c r="BR66" s="49">
        <v>2070.8969999999999</v>
      </c>
      <c r="BS66" s="49">
        <v>2209.2109999999998</v>
      </c>
      <c r="BT66" s="49">
        <v>2437.7869999999998</v>
      </c>
      <c r="BU66" s="49">
        <v>2237.63</v>
      </c>
      <c r="BV66" s="49">
        <v>2299.6469999999999</v>
      </c>
      <c r="BW66" s="49">
        <v>2428.89</v>
      </c>
      <c r="BX66" s="49">
        <v>2587.1599373586855</v>
      </c>
      <c r="BY66" s="49">
        <v>2419.0752056256674</v>
      </c>
      <c r="BZ66" s="49">
        <v>2475.9897948127846</v>
      </c>
      <c r="CA66" s="49">
        <v>2476.5024362133563</v>
      </c>
      <c r="CB66" s="49">
        <v>2511.3097595549566</v>
      </c>
      <c r="CC66" s="49">
        <v>2437.4466382908704</v>
      </c>
      <c r="CD66" s="49">
        <v>2723.6491384188403</v>
      </c>
      <c r="CE66" s="49">
        <v>2410.8151955463791</v>
      </c>
      <c r="CF66" s="49">
        <v>2370.365346892645</v>
      </c>
      <c r="CG66" s="49">
        <v>2484.5367936115008</v>
      </c>
      <c r="CH66" s="49">
        <v>2513.1973622656255</v>
      </c>
      <c r="CI66" s="49">
        <v>2673.5530313694162</v>
      </c>
      <c r="CJ66" s="49">
        <v>2693.1151404875609</v>
      </c>
    </row>
    <row r="67" spans="1:88" ht="20.149999999999999" customHeight="1" x14ac:dyDescent="0.25">
      <c r="A67" s="12" t="s">
        <v>64</v>
      </c>
      <c r="B67" s="49">
        <v>1808.1952383186883</v>
      </c>
      <c r="C67" s="49">
        <v>1856.3420234245841</v>
      </c>
      <c r="D67" s="49">
        <v>1832.4222584443041</v>
      </c>
      <c r="E67" s="49">
        <v>1902.6319373103888</v>
      </c>
      <c r="F67" s="49">
        <v>1895.0189103271957</v>
      </c>
      <c r="G67" s="49">
        <v>1909.8242691377393</v>
      </c>
      <c r="H67" s="49">
        <v>1909.1222889032524</v>
      </c>
      <c r="I67" s="49">
        <v>2039.1797824181385</v>
      </c>
      <c r="J67" s="49">
        <v>1945.1704221604239</v>
      </c>
      <c r="K67" s="49">
        <v>2039.2156394687181</v>
      </c>
      <c r="L67" s="13">
        <v>1991.9588570882199</v>
      </c>
      <c r="M67" s="13">
        <v>2088.4153989989363</v>
      </c>
      <c r="N67" s="13">
        <v>2078.1898344101119</v>
      </c>
      <c r="O67" s="13">
        <v>2126.6102909031465</v>
      </c>
      <c r="P67" s="13">
        <v>2124.576792816476</v>
      </c>
      <c r="Q67" s="13">
        <v>2218.9337191458767</v>
      </c>
      <c r="R67" s="56">
        <f t="shared" si="36"/>
        <v>2217.893940288559</v>
      </c>
      <c r="S67" s="14">
        <v>2216.8541614312412</v>
      </c>
      <c r="T67" s="13">
        <v>2242.4696245345226</v>
      </c>
      <c r="U67" s="13">
        <v>2354.5063616097059</v>
      </c>
      <c r="V67" s="13">
        <v>2201.4442436376407</v>
      </c>
      <c r="W67" s="13">
        <v>2239.7781712029332</v>
      </c>
      <c r="X67" s="13">
        <v>2336.9614578877345</v>
      </c>
      <c r="Y67" s="13">
        <v>2385.8358609896259</v>
      </c>
      <c r="Z67" s="13">
        <v>2285.0514919391285</v>
      </c>
      <c r="AA67" s="13">
        <v>2354.2388677929671</v>
      </c>
      <c r="AB67" s="13">
        <v>2256.5131062750934</v>
      </c>
      <c r="AC67" s="13">
        <v>2246.7064246769096</v>
      </c>
      <c r="AD67" s="13">
        <v>2301.75671411965</v>
      </c>
      <c r="AE67" s="13">
        <v>2359.5243490642183</v>
      </c>
      <c r="AF67" s="13">
        <v>2184.9222800118664</v>
      </c>
      <c r="AG67" s="13">
        <v>2375.497885757984</v>
      </c>
      <c r="AH67" s="13">
        <v>2397.5819204751074</v>
      </c>
      <c r="AI67" s="13">
        <v>2298.5568566245156</v>
      </c>
      <c r="AJ67" s="13">
        <v>2337.9426198777337</v>
      </c>
      <c r="AK67" s="13">
        <v>2421.042269916265</v>
      </c>
      <c r="AL67" s="13">
        <v>2463.2230000839058</v>
      </c>
      <c r="AM67" s="13">
        <v>2423.071350811882</v>
      </c>
      <c r="AN67" s="13">
        <v>2265.8278915107658</v>
      </c>
      <c r="AO67" s="13">
        <v>2443.1769895091588</v>
      </c>
      <c r="AP67" s="13">
        <v>2431.4703521517822</v>
      </c>
      <c r="AQ67" s="13">
        <v>2580.3738961716504</v>
      </c>
      <c r="AR67" s="13">
        <v>2279.0689424735906</v>
      </c>
      <c r="AS67" s="13">
        <v>2331.420571497978</v>
      </c>
      <c r="AT67" s="13">
        <v>2257.2086057249603</v>
      </c>
      <c r="AU67" s="13">
        <v>2415.6844395200696</v>
      </c>
      <c r="AV67" s="13">
        <v>2257.5891763177424</v>
      </c>
      <c r="AW67" s="13">
        <v>2405.4971195543371</v>
      </c>
      <c r="AX67" s="56">
        <f t="shared" si="37"/>
        <v>2368.8468811166485</v>
      </c>
      <c r="AY67" s="56">
        <f t="shared" si="38"/>
        <v>2350.5217618978045</v>
      </c>
      <c r="AZ67" s="56">
        <f t="shared" si="39"/>
        <v>2341.3592022883822</v>
      </c>
      <c r="BA67" s="38">
        <v>2332.1966426789604</v>
      </c>
      <c r="BB67" s="13">
        <v>2462.6873187145102</v>
      </c>
      <c r="BC67" s="13">
        <v>2339.9798268155305</v>
      </c>
      <c r="BD67" s="13">
        <v>2319.1972500040961</v>
      </c>
      <c r="BE67" s="13">
        <v>2494.7421737218933</v>
      </c>
      <c r="BF67" s="13">
        <v>2439.3008917616735</v>
      </c>
      <c r="BG67" s="13">
        <v>2374.429834519522</v>
      </c>
      <c r="BH67" s="13">
        <v>2408.2648536906504</v>
      </c>
      <c r="BI67" s="13">
        <v>2517.2219655830181</v>
      </c>
      <c r="BJ67" s="13">
        <v>2580.5428665335039</v>
      </c>
      <c r="BK67" s="49">
        <v>2495.2665563757414</v>
      </c>
      <c r="BL67" s="49">
        <v>2383.9639999999999</v>
      </c>
      <c r="BM67" s="49">
        <v>2471.2440000000001</v>
      </c>
      <c r="BN67" s="49">
        <v>2494.5464647336394</v>
      </c>
      <c r="BO67" s="49">
        <v>2518.924</v>
      </c>
      <c r="BP67" s="49">
        <v>2245.1410000000001</v>
      </c>
      <c r="BQ67" s="49">
        <v>1967.181</v>
      </c>
      <c r="BR67" s="49">
        <v>2127.6669999999999</v>
      </c>
      <c r="BS67" s="49">
        <v>2418.8209999999999</v>
      </c>
      <c r="BT67" s="49">
        <v>2345.4070000000002</v>
      </c>
      <c r="BU67" s="49">
        <v>2321.2719999999999</v>
      </c>
      <c r="BV67" s="49">
        <v>2560.5030000000002</v>
      </c>
      <c r="BW67" s="49">
        <v>2671.6990000000001</v>
      </c>
      <c r="BX67" s="49">
        <v>2584.4778115602512</v>
      </c>
      <c r="BY67" s="49">
        <v>2655.3592266368373</v>
      </c>
      <c r="BZ67" s="49">
        <v>2710.6420324512396</v>
      </c>
      <c r="CA67" s="49">
        <v>2720.572303250291</v>
      </c>
      <c r="CB67" s="49">
        <v>2625.2385700619193</v>
      </c>
      <c r="CC67" s="49">
        <v>2701.341411981803</v>
      </c>
      <c r="CD67" s="49">
        <v>2903.6745158308991</v>
      </c>
      <c r="CE67" s="49">
        <v>2880.0139769926968</v>
      </c>
      <c r="CF67" s="49">
        <v>2640.9901910990525</v>
      </c>
      <c r="CG67" s="49">
        <v>2786.8030422699931</v>
      </c>
      <c r="CH67" s="49">
        <v>2820.556767582957</v>
      </c>
      <c r="CI67" s="49">
        <v>2987.1655946572937</v>
      </c>
      <c r="CJ67" s="49">
        <v>2836.3957096549557</v>
      </c>
    </row>
    <row r="68" spans="1:88" ht="20.149999999999999" customHeight="1" thickBot="1" x14ac:dyDescent="0.3">
      <c r="A68" s="18" t="s">
        <v>65</v>
      </c>
      <c r="B68" s="50">
        <v>1834.7123551069928</v>
      </c>
      <c r="C68" s="50">
        <v>1898.7575650814811</v>
      </c>
      <c r="D68" s="50">
        <v>1853.6094451193683</v>
      </c>
      <c r="E68" s="50">
        <v>2004.6695969931245</v>
      </c>
      <c r="F68" s="50">
        <v>1977.2256551103967</v>
      </c>
      <c r="G68" s="50">
        <v>1958.5809933996979</v>
      </c>
      <c r="H68" s="50">
        <v>1936.9115358736162</v>
      </c>
      <c r="I68" s="50">
        <v>2020.0951453591633</v>
      </c>
      <c r="J68" s="50">
        <v>2103.2560872852559</v>
      </c>
      <c r="K68" s="50">
        <v>2083.5908714404081</v>
      </c>
      <c r="L68" s="19">
        <v>2134.0149556542679</v>
      </c>
      <c r="M68" s="19">
        <v>2235.1475820920245</v>
      </c>
      <c r="N68" s="19">
        <v>2230.001604035574</v>
      </c>
      <c r="O68" s="19">
        <v>2180.2440904104269</v>
      </c>
      <c r="P68" s="19">
        <v>2179.1805343674332</v>
      </c>
      <c r="Q68" s="19">
        <v>2276.7562973365948</v>
      </c>
      <c r="R68" s="56">
        <f t="shared" si="36"/>
        <v>2275.3710813797484</v>
      </c>
      <c r="S68" s="20">
        <v>2273.985865422902</v>
      </c>
      <c r="T68" s="19">
        <v>2271.2244814774276</v>
      </c>
      <c r="U68" s="19">
        <v>2240.6644496114618</v>
      </c>
      <c r="V68" s="19">
        <v>2235.7072991555688</v>
      </c>
      <c r="W68" s="19">
        <v>2336.2086210082794</v>
      </c>
      <c r="X68" s="19">
        <v>2216.7095588975712</v>
      </c>
      <c r="Y68" s="19">
        <v>2272.6856038505025</v>
      </c>
      <c r="Z68" s="19">
        <v>2211.6319833880912</v>
      </c>
      <c r="AA68" s="19">
        <v>2300.3507397458425</v>
      </c>
      <c r="AB68" s="19">
        <v>2266.9068636593038</v>
      </c>
      <c r="AC68" s="19">
        <v>2402.1007256964817</v>
      </c>
      <c r="AD68" s="19">
        <v>2343.6585894863533</v>
      </c>
      <c r="AE68" s="19">
        <v>2345.3863350798497</v>
      </c>
      <c r="AF68" s="19">
        <v>2325.0267106980841</v>
      </c>
      <c r="AG68" s="19">
        <v>2311.0643384878299</v>
      </c>
      <c r="AH68" s="19">
        <v>2322.0396347869455</v>
      </c>
      <c r="AI68" s="19">
        <v>2393.2912484269964</v>
      </c>
      <c r="AJ68" s="19">
        <v>2315.4774935870796</v>
      </c>
      <c r="AK68" s="19">
        <v>2341.5958374805732</v>
      </c>
      <c r="AL68" s="19">
        <v>2314.3699260235803</v>
      </c>
      <c r="AM68" s="19">
        <v>2342.7354246704499</v>
      </c>
      <c r="AN68" s="19">
        <v>2372.8702538688776</v>
      </c>
      <c r="AO68" s="19">
        <v>2359.4534394201814</v>
      </c>
      <c r="AP68" s="19">
        <v>2309.3119011446079</v>
      </c>
      <c r="AQ68" s="19">
        <v>2299.0606865723589</v>
      </c>
      <c r="AR68" s="19">
        <v>2317.8574931699068</v>
      </c>
      <c r="AS68" s="19">
        <v>2307.0203024144994</v>
      </c>
      <c r="AT68" s="19">
        <v>2312.866034787738</v>
      </c>
      <c r="AU68" s="19">
        <v>2294.0088223653834</v>
      </c>
      <c r="AV68" s="19">
        <v>2380.5872612754547</v>
      </c>
      <c r="AW68" s="19">
        <v>2312.5878448540475</v>
      </c>
      <c r="AX68" s="56">
        <f t="shared" si="37"/>
        <v>2350.4073207818892</v>
      </c>
      <c r="AY68" s="56">
        <f t="shared" si="38"/>
        <v>2369.3170587458103</v>
      </c>
      <c r="AZ68" s="56">
        <f t="shared" si="39"/>
        <v>2378.7719277277711</v>
      </c>
      <c r="BA68" s="45">
        <v>2388.2267967097314</v>
      </c>
      <c r="BB68" s="19">
        <v>2426.4196076226958</v>
      </c>
      <c r="BC68" s="19">
        <v>2443.0007554219219</v>
      </c>
      <c r="BD68" s="19">
        <v>2372.92792119964</v>
      </c>
      <c r="BE68" s="19">
        <v>2361.0136386121299</v>
      </c>
      <c r="BF68" s="19">
        <v>2306.9215020667934</v>
      </c>
      <c r="BG68" s="19">
        <v>2445.3235897391119</v>
      </c>
      <c r="BH68" s="19">
        <v>2379.0658894628782</v>
      </c>
      <c r="BI68" s="19">
        <v>2342.9119811272649</v>
      </c>
      <c r="BJ68" s="19">
        <v>2260.7911088551309</v>
      </c>
      <c r="BK68" s="50">
        <v>2462.2817561185807</v>
      </c>
      <c r="BL68" s="50">
        <v>2401.9050000000002</v>
      </c>
      <c r="BM68" s="50">
        <v>2477.076</v>
      </c>
      <c r="BN68" s="50">
        <v>2372.1881750614903</v>
      </c>
      <c r="BO68" s="50">
        <v>2434.134</v>
      </c>
      <c r="BP68" s="50">
        <v>2214.174</v>
      </c>
      <c r="BQ68" s="50">
        <v>2135.7440000000001</v>
      </c>
      <c r="BR68" s="50">
        <v>2215.1570000000002</v>
      </c>
      <c r="BS68" s="50">
        <v>2309.71</v>
      </c>
      <c r="BT68" s="50">
        <v>2382.152</v>
      </c>
      <c r="BU68" s="50">
        <v>2453.8850000000002</v>
      </c>
      <c r="BV68" s="50">
        <v>2542.29</v>
      </c>
      <c r="BW68" s="50">
        <v>2574.759</v>
      </c>
      <c r="BX68" s="50">
        <v>2489.2948593631691</v>
      </c>
      <c r="BY68" s="50">
        <v>2671.4189212342021</v>
      </c>
      <c r="BZ68" s="50">
        <v>2613.0453374732156</v>
      </c>
      <c r="CA68" s="50">
        <v>2670.4073615259226</v>
      </c>
      <c r="CB68" s="50">
        <v>2713.455660197998</v>
      </c>
      <c r="CC68" s="50">
        <v>2748.4480504714102</v>
      </c>
      <c r="CD68" s="50">
        <v>2698.4236024560382</v>
      </c>
      <c r="CE68" s="50">
        <v>2790.6732141986099</v>
      </c>
      <c r="CF68" s="50">
        <v>2821.5674044272864</v>
      </c>
      <c r="CG68" s="50">
        <v>2816.1381063565404</v>
      </c>
      <c r="CH68" s="50">
        <v>2779.0298410803712</v>
      </c>
      <c r="CI68" s="50">
        <v>2740.6931777192403</v>
      </c>
      <c r="CJ68" s="50">
        <v>2804.8118200213871</v>
      </c>
    </row>
    <row r="69" spans="1:88" ht="21.75" customHeight="1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</row>
    <row r="70" spans="1:88" ht="21" customHeight="1" x14ac:dyDescent="0.25">
      <c r="A70" s="61" t="s">
        <v>55</v>
      </c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22"/>
      <c r="AK70" s="22"/>
      <c r="AL70" s="22"/>
      <c r="AM70" s="22"/>
      <c r="AN70" s="22"/>
      <c r="AO70" s="22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</row>
    <row r="71" spans="1:88" s="2" customFormat="1" ht="20.25" customHeight="1" x14ac:dyDescent="0.25">
      <c r="A71" s="26" t="s">
        <v>69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</row>
    <row r="72" spans="1:88" s="30" customFormat="1" ht="24.75" customHeight="1" x14ac:dyDescent="0.25">
      <c r="A72" s="63" t="s">
        <v>104</v>
      </c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42"/>
      <c r="AT72" s="42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</row>
    <row r="73" spans="1:88" s="30" customFormat="1" ht="17.25" customHeight="1" x14ac:dyDescent="0.25">
      <c r="A73" s="63" t="s">
        <v>130</v>
      </c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42"/>
      <c r="AJ73" s="42"/>
    </row>
    <row r="74" spans="1:88" s="42" customFormat="1" ht="18.649999999999999" customHeight="1" x14ac:dyDescent="0.25">
      <c r="A74" s="63" t="s">
        <v>131</v>
      </c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</row>
    <row r="75" spans="1:88" s="42" customFormat="1" ht="20.149999999999999" customHeight="1" x14ac:dyDescent="0.25">
      <c r="A75" s="63" t="s">
        <v>132</v>
      </c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</row>
    <row r="76" spans="1:88" s="30" customFormat="1" ht="21" customHeight="1" x14ac:dyDescent="0.25">
      <c r="A76" s="64" t="s">
        <v>106</v>
      </c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29"/>
      <c r="AK76" s="29"/>
      <c r="AL76" s="29"/>
      <c r="AM76" s="29"/>
      <c r="AN76" s="29"/>
      <c r="AO76" s="29"/>
    </row>
    <row r="77" spans="1:88" ht="30" customHeight="1" x14ac:dyDescent="0.25">
      <c r="A77" s="25" t="s">
        <v>156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3"/>
      <c r="AK77" s="23"/>
      <c r="AL77" s="23"/>
      <c r="AM77" s="23"/>
      <c r="AN77" s="23"/>
      <c r="AO77" s="23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55"/>
      <c r="BL77" s="55"/>
      <c r="BM77" s="55"/>
      <c r="BN77" s="55"/>
      <c r="BO77" s="55"/>
      <c r="BP77" s="55"/>
      <c r="BQ77" s="55"/>
      <c r="BR77" s="55"/>
      <c r="BS77" s="55"/>
      <c r="BT77" s="55"/>
      <c r="BU77" s="55"/>
      <c r="BV77" s="55"/>
      <c r="BW77" s="55"/>
      <c r="BX77" s="55"/>
      <c r="BY77" s="55"/>
      <c r="BZ77" s="55"/>
      <c r="CA77" s="55"/>
      <c r="CB77" s="55"/>
      <c r="CC77" s="55"/>
      <c r="CD77" s="55"/>
      <c r="CE77" s="55"/>
      <c r="CF77" s="55"/>
      <c r="CG77" s="55"/>
      <c r="CH77" s="55"/>
      <c r="CI77" s="55"/>
      <c r="CJ77" s="55"/>
    </row>
  </sheetData>
  <mergeCells count="10">
    <mergeCell ref="A72:AR72"/>
    <mergeCell ref="A73:AH73"/>
    <mergeCell ref="A74:AH74"/>
    <mergeCell ref="A75:AR75"/>
    <mergeCell ref="A76:AI76"/>
    <mergeCell ref="A1:AI1"/>
    <mergeCell ref="A2:AI2"/>
    <mergeCell ref="A3:AI3"/>
    <mergeCell ref="A69:AI69"/>
    <mergeCell ref="A70:AI7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BEL</vt:lpstr>
      <vt:lpstr>BEL!Área_de_impresión</vt:lpstr>
    </vt:vector>
  </TitlesOfParts>
  <Company>MTSS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MTSS</dc:creator>
  <cp:lastModifiedBy>WGekko</cp:lastModifiedBy>
  <cp:lastPrinted>2011-03-10T13:56:05Z</cp:lastPrinted>
  <dcterms:created xsi:type="dcterms:W3CDTF">2006-08-14T22:43:15Z</dcterms:created>
  <dcterms:modified xsi:type="dcterms:W3CDTF">2025-11-05T20:21:44Z</dcterms:modified>
</cp:coreProperties>
</file>