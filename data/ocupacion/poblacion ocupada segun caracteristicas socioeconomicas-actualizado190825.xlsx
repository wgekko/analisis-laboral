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ocupacion\"/>
    </mc:Choice>
  </mc:AlternateContent>
  <bookViews>
    <workbookView xWindow="0" yWindow="0" windowWidth="21580" windowHeight="8150"/>
  </bookViews>
  <sheets>
    <sheet name="BEL" sheetId="1" r:id="rId1"/>
  </sheets>
  <externalReferences>
    <externalReference r:id="rId2"/>
    <externalReference r:id="rId3"/>
  </externalReferences>
  <definedNames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hidden="1">{"'cua 42'!$A$1:$O$40"}</definedName>
    <definedName name="ab" hidden="1">{"'cua 42'!$A$1:$O$40"}</definedName>
    <definedName name="affff" hidden="1">{"'cua 42'!$A$1:$O$40"}</definedName>
    <definedName name="_xlnm.Print_Area" localSheetId="0">BEL!$A$1:$BE$76</definedName>
    <definedName name="BB" hidden="1">{"'cua 42'!$A$1:$O$40"}</definedName>
    <definedName name="cc" hidden="1">{"'cua 42'!$A$1:$O$40"}</definedName>
    <definedName name="dd" hidden="1">{"'cua 42'!$A$1:$O$40"}</definedName>
    <definedName name="dfg" hidden="1">{"'cua 42'!$A$1:$O$40"}</definedName>
    <definedName name="dfgh" hidden="1">{"'cua 42'!$A$1:$O$40"}</definedName>
    <definedName name="fffffffffff" hidden="1">{"'tasa de salida'!$A$1:$G$48"}</definedName>
    <definedName name="gu" hidden="1">'[2]dep pre'!#REF!</definedName>
    <definedName name="hh" hidden="1">{"'cuadro 18 '!$A$1:$L$34"}</definedName>
    <definedName name="hllliun" hidden="1">'[2]dep pre'!#REF!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hidden="1">{"'cua 42'!$A$1:$O$40"}</definedName>
    <definedName name="jppmpñ" hidden="1">{"'cua 42'!$A$1:$O$40"}</definedName>
    <definedName name="lkjp" hidden="1">'[2]dep pre'!#REF!</definedName>
    <definedName name="nnnnnnnnnnn" hidden="1">{"'cua 42'!$A$1:$O$40"}</definedName>
    <definedName name="santiago" hidden="1">{"'cua 42'!$A$1:$O$40"}</definedName>
    <definedName name="sertes" hidden="1">{"'cua 42'!$A$1:$O$40"}</definedName>
    <definedName name="sfg" hidden="1">'[2]dep pre'!#REF!</definedName>
    <definedName name="shit" hidden="1">{"'cua 42'!$A$1:$O$40"}</definedName>
    <definedName name="ssssss" hidden="1">{"'tasa de salida'!$A$1:$G$48"}</definedName>
    <definedName name="tyurt" hidden="1">{"'cua 42'!$A$1:$O$40"}</definedName>
    <definedName name="yuetyy" hidden="1">{"'cua 42'!$A$1:$O$40"}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68" i="1" l="1"/>
  <c r="AY68" i="1" s="1"/>
  <c r="AZ68" i="1" s="1"/>
  <c r="AX67" i="1"/>
  <c r="AY67" i="1" s="1"/>
  <c r="AZ67" i="1" s="1"/>
  <c r="AX66" i="1"/>
  <c r="AY66" i="1" s="1"/>
  <c r="AZ66" i="1" s="1"/>
  <c r="AY65" i="1"/>
  <c r="AZ65" i="1" s="1"/>
  <c r="AX65" i="1"/>
  <c r="AX64" i="1"/>
  <c r="AY64" i="1" s="1"/>
  <c r="AZ64" i="1" s="1"/>
  <c r="AX62" i="1"/>
  <c r="AY62" i="1" s="1"/>
  <c r="AZ62" i="1" s="1"/>
  <c r="AX61" i="1"/>
  <c r="AY61" i="1" s="1"/>
  <c r="AZ61" i="1" s="1"/>
  <c r="AY60" i="1"/>
  <c r="AZ60" i="1" s="1"/>
  <c r="AX60" i="1"/>
  <c r="AX59" i="1"/>
  <c r="AY59" i="1" s="1"/>
  <c r="AZ59" i="1" s="1"/>
  <c r="AX58" i="1"/>
  <c r="AY58" i="1" s="1"/>
  <c r="AZ58" i="1" s="1"/>
  <c r="AX57" i="1"/>
  <c r="AY57" i="1" s="1"/>
  <c r="AZ57" i="1" s="1"/>
  <c r="AX55" i="1"/>
  <c r="AY55" i="1" s="1"/>
  <c r="AZ55" i="1" s="1"/>
  <c r="AX54" i="1"/>
  <c r="AY54" i="1" s="1"/>
  <c r="AZ54" i="1" s="1"/>
  <c r="AX53" i="1"/>
  <c r="AY53" i="1" s="1"/>
  <c r="AZ53" i="1" s="1"/>
  <c r="AX52" i="1"/>
  <c r="AY52" i="1" s="1"/>
  <c r="AZ52" i="1" s="1"/>
  <c r="AX50" i="1"/>
  <c r="AY50" i="1" s="1"/>
  <c r="AZ50" i="1" s="1"/>
  <c r="AX49" i="1"/>
  <c r="AY49" i="1" s="1"/>
  <c r="AZ49" i="1" s="1"/>
  <c r="AX48" i="1"/>
  <c r="AY48" i="1" s="1"/>
  <c r="AZ48" i="1" s="1"/>
  <c r="AY47" i="1"/>
  <c r="AZ47" i="1" s="1"/>
  <c r="AX47" i="1"/>
  <c r="AX45" i="1"/>
  <c r="AY45" i="1" s="1"/>
  <c r="AZ45" i="1" s="1"/>
  <c r="AX44" i="1"/>
  <c r="AY44" i="1" s="1"/>
  <c r="AZ44" i="1" s="1"/>
  <c r="AX43" i="1"/>
  <c r="AY43" i="1" s="1"/>
  <c r="AZ43" i="1" s="1"/>
  <c r="AY42" i="1"/>
  <c r="AZ42" i="1" s="1"/>
  <c r="AX42" i="1"/>
  <c r="AX41" i="1"/>
  <c r="AY41" i="1" s="1"/>
  <c r="AZ41" i="1" s="1"/>
  <c r="AX40" i="1"/>
  <c r="AY40" i="1" s="1"/>
  <c r="AZ40" i="1" s="1"/>
  <c r="AX39" i="1"/>
  <c r="AY39" i="1" s="1"/>
  <c r="AZ39" i="1" s="1"/>
  <c r="AX38" i="1"/>
  <c r="AY38" i="1" s="1"/>
  <c r="AZ38" i="1" s="1"/>
  <c r="AX37" i="1"/>
  <c r="AY37" i="1" s="1"/>
  <c r="AZ37" i="1" s="1"/>
  <c r="AX36" i="1"/>
  <c r="AY36" i="1" s="1"/>
  <c r="AZ36" i="1" s="1"/>
  <c r="AX35" i="1"/>
  <c r="AY35" i="1" s="1"/>
  <c r="AZ35" i="1" s="1"/>
  <c r="AY34" i="1"/>
  <c r="AZ34" i="1" s="1"/>
  <c r="AX34" i="1"/>
  <c r="AX33" i="1"/>
  <c r="AY33" i="1" s="1"/>
  <c r="AZ33" i="1" s="1"/>
  <c r="AX31" i="1"/>
  <c r="AY31" i="1" s="1"/>
  <c r="AZ31" i="1" s="1"/>
  <c r="AX30" i="1"/>
  <c r="AY30" i="1" s="1"/>
  <c r="AZ30" i="1" s="1"/>
  <c r="AX29" i="1"/>
  <c r="AY29" i="1" s="1"/>
  <c r="AZ29" i="1" s="1"/>
  <c r="AY28" i="1"/>
  <c r="AZ28" i="1" s="1"/>
  <c r="AX28" i="1"/>
  <c r="AX26" i="1"/>
  <c r="AY26" i="1" s="1"/>
  <c r="AZ26" i="1" s="1"/>
  <c r="AX25" i="1"/>
  <c r="AY25" i="1" s="1"/>
  <c r="AZ25" i="1" s="1"/>
  <c r="AY24" i="1"/>
  <c r="AZ24" i="1" s="1"/>
  <c r="AX24" i="1"/>
  <c r="AX23" i="1"/>
  <c r="AY23" i="1" s="1"/>
  <c r="AZ23" i="1" s="1"/>
  <c r="AX22" i="1"/>
  <c r="AY22" i="1" s="1"/>
  <c r="AZ22" i="1" s="1"/>
  <c r="AX21" i="1"/>
  <c r="AY21" i="1" s="1"/>
  <c r="AZ21" i="1" s="1"/>
  <c r="AX19" i="1"/>
  <c r="AY19" i="1" s="1"/>
  <c r="AZ19" i="1" s="1"/>
  <c r="AX18" i="1"/>
  <c r="AY18" i="1" s="1"/>
  <c r="AZ18" i="1" s="1"/>
  <c r="AX17" i="1"/>
  <c r="AY17" i="1" s="1"/>
  <c r="AZ17" i="1" s="1"/>
  <c r="AY16" i="1"/>
  <c r="AZ16" i="1" s="1"/>
  <c r="AX16" i="1"/>
  <c r="AY14" i="1"/>
  <c r="AZ14" i="1" s="1"/>
  <c r="AX14" i="1"/>
  <c r="AX13" i="1"/>
  <c r="AY13" i="1" s="1"/>
  <c r="AZ13" i="1" s="1"/>
  <c r="AX12" i="1"/>
  <c r="AY12" i="1" s="1"/>
  <c r="AZ12" i="1" s="1"/>
  <c r="AX11" i="1"/>
  <c r="AY11" i="1" s="1"/>
  <c r="AZ11" i="1" s="1"/>
  <c r="AX10" i="1"/>
  <c r="AY10" i="1" s="1"/>
  <c r="AZ10" i="1" s="1"/>
  <c r="AX8" i="1"/>
  <c r="AY8" i="1" s="1"/>
  <c r="AZ8" i="1" s="1"/>
  <c r="AY7" i="1"/>
  <c r="AZ7" i="1" s="1"/>
  <c r="AX7" i="1"/>
  <c r="AZ5" i="1"/>
  <c r="AY5" i="1"/>
  <c r="AX5" i="1"/>
  <c r="R68" i="1"/>
  <c r="R67" i="1"/>
  <c r="R66" i="1"/>
  <c r="R65" i="1"/>
  <c r="R64" i="1"/>
  <c r="R62" i="1"/>
  <c r="R61" i="1"/>
  <c r="R60" i="1"/>
  <c r="R59" i="1"/>
  <c r="R58" i="1"/>
  <c r="R57" i="1"/>
  <c r="R55" i="1"/>
  <c r="R54" i="1"/>
  <c r="R53" i="1"/>
  <c r="R52" i="1"/>
  <c r="R50" i="1"/>
  <c r="R49" i="1"/>
  <c r="R48" i="1"/>
  <c r="R47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1" i="1"/>
  <c r="R30" i="1"/>
  <c r="R29" i="1"/>
  <c r="R28" i="1"/>
  <c r="R26" i="1"/>
  <c r="R25" i="1"/>
  <c r="R24" i="1"/>
  <c r="R23" i="1"/>
  <c r="R22" i="1"/>
  <c r="R21" i="1"/>
  <c r="R19" i="1"/>
  <c r="R18" i="1"/>
  <c r="R17" i="1"/>
  <c r="R16" i="1"/>
  <c r="R14" i="1"/>
  <c r="R13" i="1"/>
  <c r="R12" i="1"/>
  <c r="R11" i="1"/>
  <c r="R10" i="1"/>
  <c r="R8" i="1"/>
  <c r="R7" i="1"/>
  <c r="R5" i="1"/>
</calcChain>
</file>

<file path=xl/sharedStrings.xml><?xml version="1.0" encoding="utf-8"?>
<sst xmlns="http://schemas.openxmlformats.org/spreadsheetml/2006/main" count="162" uniqueCount="161">
  <si>
    <t>Mercado de trabajo - EPH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</si>
  <si>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</si>
  <si>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</si>
  <si>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</si>
  <si>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</si>
  <si>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</si>
  <si>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</si>
  <si>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</si>
  <si>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</si>
  <si>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</si>
  <si>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</si>
  <si>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</si>
  <si>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</si>
  <si>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</si>
  <si>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</si>
  <si>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</si>
  <si>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</si>
  <si>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</si>
  <si>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</si>
  <si>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</si>
  <si>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</si>
  <si>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</si>
  <si>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Categoría ocupacional</t>
  </si>
  <si>
    <t>Patrón</t>
  </si>
  <si>
    <t>Cuenta propia</t>
  </si>
  <si>
    <t>Obrero o empleado</t>
  </si>
  <si>
    <t>Trabajador familiar</t>
  </si>
  <si>
    <t>Rama de actividad</t>
  </si>
  <si>
    <t>Actividades primarias</t>
  </si>
  <si>
    <t>Industria manufacturera</t>
  </si>
  <si>
    <t>Construcción</t>
  </si>
  <si>
    <t>Comercio</t>
  </si>
  <si>
    <t>Hoteles y restaurantes</t>
  </si>
  <si>
    <t>Transporte, almacenaje y comunicaciones</t>
  </si>
  <si>
    <t>Serv financieros, inmobiliarios, alquileres y empresariales</t>
  </si>
  <si>
    <t>Enseñanza</t>
  </si>
  <si>
    <t>Servicios sociales y de salud</t>
  </si>
  <si>
    <t>Otras ramas</t>
  </si>
  <si>
    <t>Sin especificar</t>
  </si>
  <si>
    <t>Tamaño del establecimiento</t>
  </si>
  <si>
    <t>Hasta 5 personas</t>
  </si>
  <si>
    <t>De 6 a 40 personas</t>
  </si>
  <si>
    <t>Más de 40 personas</t>
  </si>
  <si>
    <t>Calificación de la tarea</t>
  </si>
  <si>
    <t>Profesional</t>
  </si>
  <si>
    <t>Técnica</t>
  </si>
  <si>
    <t>Operativa</t>
  </si>
  <si>
    <t>Sin calificación</t>
  </si>
  <si>
    <t>Horas trabajadas</t>
  </si>
  <si>
    <t>Hasta 19 horas</t>
  </si>
  <si>
    <t>De 20 a 34 horas</t>
  </si>
  <si>
    <t>De 35 a 45 horas</t>
  </si>
  <si>
    <t>De 46 a 60 horas</t>
  </si>
  <si>
    <t>Más de 60 horas</t>
  </si>
  <si>
    <t>No trabajó en la semana</t>
  </si>
  <si>
    <t>Notas:</t>
  </si>
  <si>
    <t>1° Trim 06</t>
  </si>
  <si>
    <t>2° Trim 06</t>
  </si>
  <si>
    <t>3° Trim 06</t>
  </si>
  <si>
    <t>4° Trim 06</t>
  </si>
  <si>
    <t>1° Trim 07</t>
  </si>
  <si>
    <t>Ingreso per cápita familiar</t>
  </si>
  <si>
    <t>2do Quintil</t>
  </si>
  <si>
    <t>3er Quintil</t>
  </si>
  <si>
    <t>4to Quintil</t>
  </si>
  <si>
    <t>5to Quintil</t>
  </si>
  <si>
    <t>Total aglomerados relevados  (en miles de personas)</t>
  </si>
  <si>
    <r>
      <t>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Quintil</t>
    </r>
  </si>
  <si>
    <t>Grupos de edad</t>
  </si>
  <si>
    <t>Trabajo doméstico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</si>
  <si>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</si>
  <si>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</si>
  <si>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</si>
  <si>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</si>
  <si>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</si>
  <si>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</si>
  <si>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</si>
  <si>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</si>
  <si>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</si>
  <si>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</si>
  <si>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</si>
  <si>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</si>
  <si>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</si>
  <si>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</si>
  <si>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</si>
  <si>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</si>
  <si>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</si>
  <si>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</si>
  <si>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</si>
  <si>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</si>
  <si>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</si>
  <si>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</si>
  <si>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</si>
  <si>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</si>
  <si>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</si>
  <si>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</si>
  <si>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</si>
  <si>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</si>
  <si>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</si>
  <si>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</si>
  <si>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</si>
  <si>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</si>
  <si>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2° Trim 15 </t>
    </r>
    <r>
      <rPr>
        <b/>
        <vertAlign val="superscript"/>
        <sz val="12"/>
        <rFont val="Arial"/>
        <family val="2"/>
      </rPr>
      <t>1</t>
    </r>
  </si>
  <si>
    <t>1.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</si>
  <si>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</si>
  <si>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</si>
  <si>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5. Incluye Administración pública y defensa, Asociaciones sindicales, empresariales y sociales, Servicios culturales y deportivos, entre otros.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</si>
  <si>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</si>
  <si>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</si>
  <si>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</si>
  <si>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</si>
  <si>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</si>
  <si>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</si>
  <si>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</si>
  <si>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</si>
  <si>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</si>
  <si>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</si>
  <si>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</si>
  <si>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</si>
  <si>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</si>
  <si>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</si>
  <si>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</si>
  <si>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</si>
  <si>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</si>
  <si>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</si>
  <si>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4. Información no disponible</t>
  </si>
  <si>
    <r>
      <t xml:space="preserve">3° Trim 07 </t>
    </r>
    <r>
      <rPr>
        <b/>
        <vertAlign val="superscript"/>
        <sz val="12"/>
        <rFont val="Arial"/>
        <family val="2"/>
      </rPr>
      <t>1 2</t>
    </r>
  </si>
  <si>
    <r>
      <t xml:space="preserve">1° Trim 14 </t>
    </r>
    <r>
      <rPr>
        <b/>
        <vertAlign val="superscript"/>
        <sz val="12"/>
        <rFont val="Arial"/>
        <family val="2"/>
      </rPr>
      <t>13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</si>
  <si>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</si>
  <si>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</si>
  <si>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</si>
  <si>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r>
      <t xml:space="preserve"> Otros servicios comunitarios, sociales y personales </t>
    </r>
    <r>
      <rPr>
        <vertAlign val="superscript"/>
        <sz val="10"/>
        <rFont val="Arial"/>
        <family val="2"/>
      </rPr>
      <t>5</t>
    </r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</si>
  <si>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</si>
  <si>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</si>
  <si>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</si>
  <si>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</si>
  <si>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</si>
  <si>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</si>
  <si>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</si>
  <si>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</si>
  <si>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</si>
  <si>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</si>
  <si>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</si>
  <si>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r>
      <t>Población ocupada</t>
    </r>
    <r>
      <rPr>
        <b/>
        <vertAlign val="superscript"/>
        <sz val="14"/>
        <color indexed="9"/>
        <rFont val="Arial"/>
        <family val="2"/>
      </rPr>
      <t xml:space="preserve"> </t>
    </r>
    <r>
      <rPr>
        <b/>
        <sz val="14"/>
        <color indexed="9"/>
        <rFont val="Arial"/>
        <family val="2"/>
      </rPr>
      <t>según sexo, grupos de edad, posición en el hogar, nivel educativo, categoría ocupacional, rama de actividad, tamaño del establecimiento, calificación de la tarea, horas trabajadas y quintil de ingreso per cápita familiar</t>
    </r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</si>
  <si>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</si>
  <si>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</si>
  <si>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</si>
  <si>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</si>
  <si>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</si>
  <si>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</si>
  <si>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</si>
  <si>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</si>
  <si>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</si>
  <si>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</si>
  <si>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</si>
  <si>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Fuente: STEySS -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</si>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</sst>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_ ;_ * \-#,##0_ ;_ * &quot;-&quot;??_ ;_ @_ "/>
    <numFmt numFmtId="166" formatCode="#.##000"/>
    <numFmt numFmtId="167" formatCode="\$#,#00"/>
    <numFmt numFmtId="168" formatCode="#,#00"/>
    <numFmt numFmtId="169" formatCode="#.##0,"/>
    <numFmt numFmtId="170" formatCode="\$#,"/>
    <numFmt numFmtId="171" formatCode="_ [$€-2]\ * #,##0.00_ ;_ [$€-2]\ * \-#,##0.00_ ;_ [$€-2]\ * &quot;-&quot;??_ "/>
    <numFmt numFmtId="172" formatCode="&quot;$&quot;#,##0\ ;\(&quot;$&quot;#,##0\)"/>
    <numFmt numFmtId="173" formatCode="_ * #,##0.0_ ;_ * \-#,##0.0_ ;_ * &quot;-&quot;??_ ;_ @_ "/>
  </numFmts>
  <fonts count="49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vertAlign val="superscript"/>
      <sz val="14"/>
      <color indexed="9"/>
      <name val="Arial"/>
      <family val="2"/>
    </font>
    <font>
      <b/>
      <vertAlign val="superscript"/>
      <sz val="12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9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1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8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38" fillId="0" borderId="0" applyFont="0" applyFill="0" applyBorder="0" applyAlignment="0" applyProtection="0"/>
    <xf numFmtId="167" fontId="19" fillId="0" borderId="0">
      <protection locked="0"/>
    </xf>
    <xf numFmtId="170" fontId="19" fillId="0" borderId="0">
      <protection locked="0"/>
    </xf>
    <xf numFmtId="0" fontId="27" fillId="22" borderId="0" applyNumberFormat="0" applyBorder="0" applyAlignment="0" applyProtection="0"/>
    <xf numFmtId="0" fontId="1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6" fontId="19" fillId="0" borderId="0">
      <protection locked="0"/>
    </xf>
    <xf numFmtId="169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  <xf numFmtId="164" fontId="48" fillId="0" borderId="0" applyFont="0" applyFill="0" applyBorder="0" applyAlignment="0" applyProtection="0"/>
  </cellStyleXfs>
  <cellXfs count="61">
    <xf numFmtId="0" fontId="0" fillId="0" borderId="0" xfId="0"/>
    <xf numFmtId="0" fontId="39" fillId="0" borderId="0" xfId="82" applyFont="1" applyAlignment="1">
      <alignment horizontal="center" vertical="center"/>
    </xf>
    <xf numFmtId="0" fontId="38" fillId="0" borderId="0" xfId="82" applyFont="1" applyAlignment="1">
      <alignment vertical="center"/>
    </xf>
    <xf numFmtId="0" fontId="40" fillId="24" borderId="0" xfId="81" applyFont="1" applyFill="1" applyAlignment="1">
      <alignment horizontal="center" vertical="center" wrapText="1"/>
    </xf>
    <xf numFmtId="0" fontId="38" fillId="0" borderId="0" xfId="0" applyFont="1" applyAlignment="1">
      <alignment vertical="center"/>
    </xf>
    <xf numFmtId="165" fontId="39" fillId="0" borderId="10" xfId="77" applyNumberFormat="1" applyFont="1" applyBorder="1" applyAlignment="1">
      <alignment horizontal="left" vertical="center"/>
    </xf>
    <xf numFmtId="165" fontId="39" fillId="0" borderId="10" xfId="77" applyNumberFormat="1" applyFont="1" applyBorder="1" applyAlignment="1">
      <alignment horizontal="right" vertical="center"/>
    </xf>
    <xf numFmtId="165" fontId="38" fillId="0" borderId="0" xfId="77" applyNumberFormat="1" applyFont="1" applyBorder="1" applyAlignment="1">
      <alignment horizontal="right" vertical="center"/>
    </xf>
    <xf numFmtId="0" fontId="38" fillId="0" borderId="0" xfId="0" applyFont="1" applyAlignment="1">
      <alignment horizontal="center" vertical="center"/>
    </xf>
    <xf numFmtId="165" fontId="39" fillId="0" borderId="11" xfId="77" applyNumberFormat="1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165" fontId="39" fillId="0" borderId="11" xfId="77" applyNumberFormat="1" applyFont="1" applyBorder="1" applyAlignment="1">
      <alignment horizontal="left" vertical="center"/>
    </xf>
    <xf numFmtId="165" fontId="38" fillId="0" borderId="0" xfId="77" applyNumberFormat="1" applyFont="1" applyBorder="1" applyAlignment="1">
      <alignment horizontal="left" vertical="center" indent="1"/>
    </xf>
    <xf numFmtId="165" fontId="38" fillId="0" borderId="0" xfId="77" applyNumberFormat="1" applyFont="1" applyBorder="1" applyAlignment="1">
      <alignment vertical="center"/>
    </xf>
    <xf numFmtId="165" fontId="39" fillId="0" borderId="10" xfId="77" applyNumberFormat="1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3" fontId="38" fillId="0" borderId="0" xfId="0" applyNumberFormat="1" applyFont="1"/>
    <xf numFmtId="165" fontId="38" fillId="0" borderId="10" xfId="77" applyNumberFormat="1" applyFont="1" applyBorder="1" applyAlignment="1">
      <alignment horizontal="left" vertical="center" indent="1"/>
    </xf>
    <xf numFmtId="165" fontId="38" fillId="0" borderId="10" xfId="77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horizontal="right" vertical="center"/>
    </xf>
    <xf numFmtId="0" fontId="38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/>
    </xf>
    <xf numFmtId="0" fontId="4" fillId="2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8" fillId="24" borderId="0" xfId="0" applyFont="1" applyFill="1" applyAlignment="1">
      <alignment vertical="center"/>
    </xf>
    <xf numFmtId="165" fontId="39" fillId="0" borderId="0" xfId="77" applyNumberFormat="1" applyFont="1" applyBorder="1" applyAlignment="1">
      <alignment horizontal="right" vertical="center"/>
    </xf>
    <xf numFmtId="0" fontId="42" fillId="25" borderId="10" xfId="82" applyFont="1" applyFill="1" applyBorder="1" applyAlignment="1">
      <alignment horizontal="center" vertical="center"/>
    </xf>
    <xf numFmtId="0" fontId="1" fillId="0" borderId="0" xfId="77" applyNumberFormat="1" applyFont="1" applyBorder="1" applyAlignment="1">
      <alignment horizontal="left" vertical="center" indent="1"/>
    </xf>
    <xf numFmtId="0" fontId="1" fillId="0" borderId="0" xfId="82" applyFont="1" applyAlignment="1">
      <alignment vertical="center"/>
    </xf>
    <xf numFmtId="165" fontId="39" fillId="0" borderId="10" xfId="77" applyNumberFormat="1" applyFont="1" applyFill="1" applyBorder="1" applyAlignment="1">
      <alignment horizontal="right" vertical="center"/>
    </xf>
    <xf numFmtId="165" fontId="39" fillId="0" borderId="11" xfId="77" applyNumberFormat="1" applyFont="1" applyFill="1" applyBorder="1" applyAlignment="1">
      <alignment horizontal="right" vertical="center"/>
    </xf>
    <xf numFmtId="165" fontId="38" fillId="0" borderId="0" xfId="77" applyNumberFormat="1" applyFont="1" applyFill="1" applyBorder="1" applyAlignment="1">
      <alignment horizontal="right" vertical="center"/>
    </xf>
    <xf numFmtId="3" fontId="38" fillId="0" borderId="0" xfId="0" applyNumberFormat="1" applyFont="1" applyAlignment="1">
      <alignment horizontal="right"/>
    </xf>
    <xf numFmtId="0" fontId="38" fillId="0" borderId="10" xfId="0" applyFont="1" applyBorder="1" applyAlignment="1">
      <alignment horizontal="right" vertical="center"/>
    </xf>
    <xf numFmtId="165" fontId="38" fillId="0" borderId="10" xfId="77" applyNumberFormat="1" applyFont="1" applyFill="1" applyBorder="1" applyAlignment="1">
      <alignment horizontal="right" vertical="center"/>
    </xf>
    <xf numFmtId="165" fontId="1" fillId="0" borderId="0" xfId="77" applyNumberFormat="1" applyFont="1" applyBorder="1" applyAlignment="1">
      <alignment horizontal="right" vertical="center"/>
    </xf>
    <xf numFmtId="173" fontId="39" fillId="0" borderId="11" xfId="98" applyNumberFormat="1" applyFont="1" applyBorder="1" applyAlignment="1">
      <alignment horizontal="center" vertical="center"/>
    </xf>
    <xf numFmtId="173" fontId="39" fillId="0" borderId="10" xfId="98" applyNumberFormat="1" applyFont="1" applyBorder="1" applyAlignment="1">
      <alignment horizontal="center" vertical="center"/>
    </xf>
    <xf numFmtId="173" fontId="1" fillId="0" borderId="10" xfId="77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1" fillId="24" borderId="13" xfId="82" applyFont="1" applyFill="1" applyBorder="1" applyAlignment="1">
      <alignment horizontal="left" vertical="center"/>
    </xf>
    <xf numFmtId="0" fontId="41" fillId="24" borderId="13" xfId="82" applyFont="1" applyFill="1" applyBorder="1" applyAlignment="1">
      <alignment horizontal="center" vertical="center"/>
    </xf>
    <xf numFmtId="165" fontId="1" fillId="0" borderId="0" xfId="77" applyNumberFormat="1" applyFont="1" applyBorder="1" applyAlignment="1">
      <alignment vertical="center"/>
    </xf>
    <xf numFmtId="165" fontId="1" fillId="0" borderId="10" xfId="77" applyNumberFormat="1" applyFont="1" applyBorder="1" applyAlignment="1">
      <alignment vertical="center"/>
    </xf>
    <xf numFmtId="165" fontId="39" fillId="0" borderId="11" xfId="77" applyNumberFormat="1" applyFont="1" applyBorder="1" applyAlignment="1">
      <alignment horizontal="right" vertical="center"/>
    </xf>
    <xf numFmtId="3" fontId="1" fillId="0" borderId="0" xfId="0" applyNumberFormat="1" applyFont="1"/>
    <xf numFmtId="0" fontId="1" fillId="0" borderId="10" xfId="0" applyFont="1" applyBorder="1" applyAlignment="1">
      <alignment vertical="center"/>
    </xf>
    <xf numFmtId="0" fontId="1" fillId="24" borderId="0" xfId="0" applyFont="1" applyFill="1" applyAlignment="1">
      <alignment vertical="center"/>
    </xf>
    <xf numFmtId="165" fontId="1" fillId="26" borderId="0" xfId="77" applyNumberFormat="1" applyFont="1" applyFill="1" applyBorder="1" applyAlignment="1">
      <alignment horizontal="right" vertical="center"/>
    </xf>
    <xf numFmtId="165" fontId="39" fillId="26" borderId="10" xfId="77" applyNumberFormat="1" applyFont="1" applyFill="1" applyBorder="1" applyAlignment="1">
      <alignment vertical="center"/>
    </xf>
    <xf numFmtId="165" fontId="38" fillId="26" borderId="10" xfId="77" applyNumberFormat="1" applyFont="1" applyFill="1" applyBorder="1" applyAlignment="1">
      <alignment horizontal="right" vertical="center"/>
    </xf>
    <xf numFmtId="165" fontId="39" fillId="26" borderId="0" xfId="77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24" borderId="0" xfId="0" applyFont="1" applyFill="1" applyAlignment="1">
      <alignment horizontal="left" vertical="center"/>
    </xf>
    <xf numFmtId="0" fontId="38" fillId="0" borderId="12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7" fillId="0" borderId="0" xfId="82" applyFont="1" applyAlignment="1">
      <alignment horizontal="left" vertical="center"/>
    </xf>
    <xf numFmtId="0" fontId="40" fillId="24" borderId="0" xfId="81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9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3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98" builtinId="3"/>
    <cellStyle name="Millares 3" xfId="77"/>
    <cellStyle name="Monetario" xfId="78"/>
    <cellStyle name="Monetario0" xfId="79"/>
    <cellStyle name="Neutral" xfId="80" builtinId="28" customBuiltin="1"/>
    <cellStyle name="Normal" xfId="0" builtinId="0"/>
    <cellStyle name="Normal_C1 (2)" xfId="81"/>
    <cellStyle name="Normal_Cuadros tasas trimestrales" xfId="82"/>
    <cellStyle name="Notas" xfId="83" builtinId="10" customBuiltin="1"/>
    <cellStyle name="Note" xfId="84"/>
    <cellStyle name="Output" xfId="85"/>
    <cellStyle name="Punto" xfId="86"/>
    <cellStyle name="Punto0" xfId="87"/>
    <cellStyle name="Salida" xfId="88" builtinId="21" customBuiltin="1"/>
    <cellStyle name="Texto de advertencia" xfId="89" builtinId="11" customBuiltin="1"/>
    <cellStyle name="Texto explicativo" xfId="90" builtinId="53" customBuiltin="1"/>
    <cellStyle name="Title" xfId="91"/>
    <cellStyle name="Título" xfId="92" builtinId="15" customBuiltin="1"/>
    <cellStyle name="Título 2" xfId="94" builtinId="17" customBuiltin="1"/>
    <cellStyle name="Título 3" xfId="95" builtinId="18" customBuiltin="1"/>
    <cellStyle name="Total" xfId="96" builtinId="25" customBuiltin="1"/>
    <cellStyle name="Warning Text" xfId="9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26"/>
  <sheetViews>
    <sheetView showGridLines="0" tabSelected="1" zoomScale="85" zoomScaleNormal="85" workbookViewId="0">
      <selection activeCell="A4" sqref="A4"/>
    </sheetView>
  </sheetViews>
  <sheetFormatPr baseColWidth="10" defaultColWidth="2.81640625" defaultRowHeight="12.5" zeroHeight="1" x14ac:dyDescent="0.25"/>
  <cols>
    <col min="1" max="1" width="54.81640625" style="4" customWidth="1"/>
    <col min="2" max="11" width="16.7265625" style="39" customWidth="1"/>
    <col min="12" max="62" width="16.7265625" style="4" customWidth="1"/>
    <col min="63" max="88" width="16.7265625" style="39" customWidth="1"/>
    <col min="89" max="16384" width="2.81640625" style="4"/>
  </cols>
  <sheetData>
    <row r="1" spans="1:88" s="2" customFormat="1" ht="22.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59" t="s">
        <v>143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40" t="s">
        <v>66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</row>
    <row r="4" spans="1:88" s="1" customFormat="1" ht="30" customHeight="1" thickBot="1" x14ac:dyDescent="0.3">
      <c r="A4" s="26" t="s">
        <v>160</v>
      </c>
      <c r="B4" s="26" t="s">
        <v>115</v>
      </c>
      <c r="C4" s="26" t="s">
        <v>116</v>
      </c>
      <c r="D4" s="26" t="s">
        <v>117</v>
      </c>
      <c r="E4" s="26" t="s">
        <v>118</v>
      </c>
      <c r="F4" s="26" t="s">
        <v>119</v>
      </c>
      <c r="G4" s="26" t="s">
        <v>120</v>
      </c>
      <c r="H4" s="26" t="s">
        <v>121</v>
      </c>
      <c r="I4" s="26" t="s">
        <v>122</v>
      </c>
      <c r="J4" s="26" t="s">
        <v>123</v>
      </c>
      <c r="K4" s="26" t="s">
        <v>124</v>
      </c>
      <c r="L4" s="26" t="s">
        <v>56</v>
      </c>
      <c r="M4" s="26" t="s">
        <v>57</v>
      </c>
      <c r="N4" s="26" t="s">
        <v>58</v>
      </c>
      <c r="O4" s="26" t="s">
        <v>59</v>
      </c>
      <c r="P4" s="26" t="s">
        <v>60</v>
      </c>
      <c r="Q4" s="26" t="s">
        <v>72</v>
      </c>
      <c r="R4" s="26" t="s">
        <v>126</v>
      </c>
      <c r="S4" s="26" t="s">
        <v>73</v>
      </c>
      <c r="T4" s="26" t="s">
        <v>74</v>
      </c>
      <c r="U4" s="26" t="s">
        <v>75</v>
      </c>
      <c r="V4" s="26" t="s">
        <v>76</v>
      </c>
      <c r="W4" s="26" t="s">
        <v>77</v>
      </c>
      <c r="X4" s="26" t="s">
        <v>78</v>
      </c>
      <c r="Y4" s="26" t="s">
        <v>79</v>
      </c>
      <c r="Z4" s="26" t="s">
        <v>80</v>
      </c>
      <c r="AA4" s="26" t="s">
        <v>81</v>
      </c>
      <c r="AB4" s="26" t="s">
        <v>82</v>
      </c>
      <c r="AC4" s="26" t="s">
        <v>83</v>
      </c>
      <c r="AD4" s="26" t="s">
        <v>84</v>
      </c>
      <c r="AE4" s="26" t="s">
        <v>85</v>
      </c>
      <c r="AF4" s="26" t="s">
        <v>86</v>
      </c>
      <c r="AG4" s="26" t="s">
        <v>87</v>
      </c>
      <c r="AH4" s="26" t="s">
        <v>88</v>
      </c>
      <c r="AI4" s="26" t="s">
        <v>89</v>
      </c>
      <c r="AJ4" s="26" t="s">
        <v>90</v>
      </c>
      <c r="AK4" s="26" t="s">
        <v>91</v>
      </c>
      <c r="AL4" s="26" t="s">
        <v>92</v>
      </c>
      <c r="AM4" s="26" t="s">
        <v>93</v>
      </c>
      <c r="AN4" s="26" t="s">
        <v>94</v>
      </c>
      <c r="AO4" s="26" t="s">
        <v>95</v>
      </c>
      <c r="AP4" s="26" t="s">
        <v>96</v>
      </c>
      <c r="AQ4" s="26" t="s">
        <v>97</v>
      </c>
      <c r="AR4" s="26" t="s">
        <v>127</v>
      </c>
      <c r="AS4" s="26" t="s">
        <v>98</v>
      </c>
      <c r="AT4" s="26" t="s">
        <v>99</v>
      </c>
      <c r="AU4" s="26" t="s">
        <v>100</v>
      </c>
      <c r="AV4" s="26" t="s">
        <v>101</v>
      </c>
      <c r="AW4" s="26" t="s">
        <v>102</v>
      </c>
      <c r="AX4" s="26" t="s">
        <v>128</v>
      </c>
      <c r="AY4" s="26" t="s">
        <v>129</v>
      </c>
      <c r="AZ4" s="26" t="s">
        <v>130</v>
      </c>
      <c r="BA4" s="26" t="s">
        <v>70</v>
      </c>
      <c r="BB4" s="26" t="s">
        <v>71</v>
      </c>
      <c r="BC4" s="26" t="s">
        <v>107</v>
      </c>
      <c r="BD4" s="26" t="s">
        <v>108</v>
      </c>
      <c r="BE4" s="26" t="s">
        <v>109</v>
      </c>
      <c r="BF4" s="26" t="s">
        <v>110</v>
      </c>
      <c r="BG4" s="26" t="s">
        <v>111</v>
      </c>
      <c r="BH4" s="26" t="s">
        <v>112</v>
      </c>
      <c r="BI4" s="26" t="s">
        <v>113</v>
      </c>
      <c r="BJ4" s="26" t="s">
        <v>114</v>
      </c>
      <c r="BK4" s="26" t="s">
        <v>132</v>
      </c>
      <c r="BL4" s="26" t="s">
        <v>133</v>
      </c>
      <c r="BM4" s="26" t="s">
        <v>134</v>
      </c>
      <c r="BN4" s="26" t="s">
        <v>135</v>
      </c>
      <c r="BO4" s="26" t="s">
        <v>136</v>
      </c>
      <c r="BP4" s="26" t="s">
        <v>137</v>
      </c>
      <c r="BQ4" s="26" t="s">
        <v>138</v>
      </c>
      <c r="BR4" s="26" t="s">
        <v>139</v>
      </c>
      <c r="BS4" s="26" t="s">
        <v>140</v>
      </c>
      <c r="BT4" s="26" t="s">
        <v>141</v>
      </c>
      <c r="BU4" s="26" t="s">
        <v>142</v>
      </c>
      <c r="BV4" s="26" t="s">
        <v>144</v>
      </c>
      <c r="BW4" s="26" t="s">
        <v>145</v>
      </c>
      <c r="BX4" s="26" t="s">
        <v>146</v>
      </c>
      <c r="BY4" s="26" t="s">
        <v>147</v>
      </c>
      <c r="BZ4" s="26" t="s">
        <v>148</v>
      </c>
      <c r="CA4" s="26" t="s">
        <v>149</v>
      </c>
      <c r="CB4" s="26" t="s">
        <v>150</v>
      </c>
      <c r="CC4" s="26" t="s">
        <v>151</v>
      </c>
      <c r="CD4" s="26" t="s">
        <v>152</v>
      </c>
      <c r="CE4" s="26" t="s">
        <v>153</v>
      </c>
      <c r="CF4" s="26" t="s">
        <v>154</v>
      </c>
      <c r="CG4" s="26" t="s">
        <v>156</v>
      </c>
      <c r="CH4" s="26" t="s">
        <v>157</v>
      </c>
      <c r="CI4" s="26" t="s">
        <v>158</v>
      </c>
      <c r="CJ4" s="26" t="s">
        <v>159</v>
      </c>
    </row>
    <row r="5" spans="1:88" s="8" customFormat="1" ht="30" customHeight="1" thickBot="1" x14ac:dyDescent="0.3">
      <c r="A5" s="5" t="s">
        <v>1</v>
      </c>
      <c r="B5" s="6">
        <v>9023.3102985096612</v>
      </c>
      <c r="C5" s="6">
        <v>9250.3633875731412</v>
      </c>
      <c r="D5" s="6">
        <v>9258.5240721196296</v>
      </c>
      <c r="E5" s="6">
        <v>9365.3110076226476</v>
      </c>
      <c r="F5" s="6">
        <v>9556.0350087220359</v>
      </c>
      <c r="G5" s="6">
        <v>9670.5350491933586</v>
      </c>
      <c r="H5" s="6">
        <v>9520.2239897629006</v>
      </c>
      <c r="I5" s="6">
        <v>9636.5742056753206</v>
      </c>
      <c r="J5" s="6">
        <v>9911.340299462443</v>
      </c>
      <c r="K5" s="6">
        <v>10014.903996037439</v>
      </c>
      <c r="L5" s="6">
        <v>9900.267019769024</v>
      </c>
      <c r="M5" s="6">
        <v>10158.197561111483</v>
      </c>
      <c r="N5" s="6">
        <v>10160.374480743043</v>
      </c>
      <c r="O5" s="6">
        <v>10297.90797301288</v>
      </c>
      <c r="P5" s="6">
        <v>10242.186657752387</v>
      </c>
      <c r="Q5" s="6">
        <v>10387.810632884864</v>
      </c>
      <c r="R5" s="51">
        <f>+(Q5+S5)/2</f>
        <v>10381.126239570069</v>
      </c>
      <c r="S5" s="25">
        <v>10374.441846255271</v>
      </c>
      <c r="T5" s="6">
        <v>10364.328622430012</v>
      </c>
      <c r="U5" s="6">
        <v>10437.99984339217</v>
      </c>
      <c r="V5" s="6">
        <v>10426.222495345419</v>
      </c>
      <c r="W5" s="6">
        <v>10668.664414380197</v>
      </c>
      <c r="X5" s="6">
        <v>10648.120630736936</v>
      </c>
      <c r="Y5" s="6">
        <v>10591.755815630024</v>
      </c>
      <c r="Z5" s="6">
        <v>10526.052519999392</v>
      </c>
      <c r="AA5" s="6">
        <v>10690.038550082007</v>
      </c>
      <c r="AB5" s="6">
        <v>10684.617221817469</v>
      </c>
      <c r="AC5" s="6">
        <v>10770.537272423977</v>
      </c>
      <c r="AD5" s="6">
        <v>10809.291779478383</v>
      </c>
      <c r="AE5" s="6">
        <v>10827.061190600254</v>
      </c>
      <c r="AF5" s="6">
        <v>10838.574503329606</v>
      </c>
      <c r="AG5" s="6">
        <v>11096.68877382997</v>
      </c>
      <c r="AH5" s="6">
        <v>11171.289374129996</v>
      </c>
      <c r="AI5" s="6">
        <v>11105.987073956599</v>
      </c>
      <c r="AJ5" s="6">
        <v>10960.881787545535</v>
      </c>
      <c r="AK5" s="6">
        <v>11137.764464190852</v>
      </c>
      <c r="AL5" s="6">
        <v>11285.731413131512</v>
      </c>
      <c r="AM5" s="6">
        <v>11269.876123978989</v>
      </c>
      <c r="AN5" s="6">
        <v>11074.706220793219</v>
      </c>
      <c r="AO5" s="6">
        <v>11336.762903773024</v>
      </c>
      <c r="AP5" s="6">
        <v>11330.519631113786</v>
      </c>
      <c r="AQ5" s="44">
        <v>11304.580388188457</v>
      </c>
      <c r="AR5" s="44">
        <v>11095.741958906925</v>
      </c>
      <c r="AS5" s="6">
        <v>11010.906370826817</v>
      </c>
      <c r="AT5" s="6">
        <v>11022.40310246521</v>
      </c>
      <c r="AU5" s="6">
        <v>11252.956511207536</v>
      </c>
      <c r="AV5" s="6">
        <v>11102.21667721726</v>
      </c>
      <c r="AW5" s="6">
        <v>11151.034430767637</v>
      </c>
      <c r="AX5" s="51">
        <f>+(AW5+BA5)/2</f>
        <v>11311.716679944355</v>
      </c>
      <c r="AY5" s="51">
        <f>+(AX5+BA5)/2</f>
        <v>11392.057804532715</v>
      </c>
      <c r="AZ5" s="51">
        <f>+(AY5+BA5)/2</f>
        <v>11432.228366826894</v>
      </c>
      <c r="BA5" s="29">
        <v>11472.398929121075</v>
      </c>
      <c r="BB5" s="6">
        <v>11614.217899588288</v>
      </c>
      <c r="BC5" s="6">
        <v>11596.750383613278</v>
      </c>
      <c r="BD5" s="6">
        <v>11460.822205311768</v>
      </c>
      <c r="BE5" s="6">
        <v>11511.048174200001</v>
      </c>
      <c r="BF5" s="6">
        <v>11810.801320500001</v>
      </c>
      <c r="BG5" s="6">
        <v>12011.328039999999</v>
      </c>
      <c r="BH5" s="6">
        <v>11866.38193</v>
      </c>
      <c r="BI5" s="6">
        <v>11757.599166</v>
      </c>
      <c r="BJ5" s="6">
        <v>11937.879835200003</v>
      </c>
      <c r="BK5" s="6">
        <v>11908.972290600002</v>
      </c>
      <c r="BL5" s="6">
        <v>11947.316999999999</v>
      </c>
      <c r="BM5" s="6">
        <v>12073.393</v>
      </c>
      <c r="BN5" s="6">
        <v>12109.032307102238</v>
      </c>
      <c r="BO5" s="6">
        <v>12240.119000000001</v>
      </c>
      <c r="BP5" s="6">
        <v>12045.2</v>
      </c>
      <c r="BQ5" s="6">
        <v>9546.08</v>
      </c>
      <c r="BR5" s="6">
        <v>10657.849</v>
      </c>
      <c r="BS5" s="6">
        <v>11523.648999999999</v>
      </c>
      <c r="BT5" s="6">
        <v>11981.986999999999</v>
      </c>
      <c r="BU5" s="6">
        <v>11981.48</v>
      </c>
      <c r="BV5" s="6">
        <v>12403.538</v>
      </c>
      <c r="BW5" s="6">
        <v>12643.582</v>
      </c>
      <c r="BX5" s="6">
        <v>12583.977000000001</v>
      </c>
      <c r="BY5" s="6">
        <v>12993.264999999999</v>
      </c>
      <c r="BZ5" s="6">
        <v>12922.101000000001</v>
      </c>
      <c r="CA5" s="6">
        <v>13061.102000000001</v>
      </c>
      <c r="CB5" s="6">
        <v>13191.361000000001</v>
      </c>
      <c r="CC5" s="6">
        <v>13107.638999999999</v>
      </c>
      <c r="CD5" s="6">
        <v>13396.201999999999</v>
      </c>
      <c r="CE5" s="6">
        <v>13517.937</v>
      </c>
      <c r="CF5" s="6">
        <v>13113.928</v>
      </c>
      <c r="CG5" s="6">
        <v>13297.901</v>
      </c>
      <c r="CH5" s="6">
        <v>13368.04</v>
      </c>
      <c r="CI5" s="6">
        <v>13596.484</v>
      </c>
      <c r="CJ5" s="6">
        <v>13258.808999999999</v>
      </c>
    </row>
    <row r="6" spans="1:88" ht="20.149999999999999" customHeight="1" thickBot="1" x14ac:dyDescent="0.3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6"/>
      <c r="AY6" s="36"/>
      <c r="AZ6" s="36"/>
      <c r="BA6" s="30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spans="1:88" ht="20.149999999999999" customHeight="1" x14ac:dyDescent="0.25">
      <c r="A7" s="12" t="s">
        <v>3</v>
      </c>
      <c r="B7" s="42">
        <v>5135.2389378977314</v>
      </c>
      <c r="C7" s="42">
        <v>5394.033760467516</v>
      </c>
      <c r="D7" s="42">
        <v>5403.0579020038249</v>
      </c>
      <c r="E7" s="42">
        <v>5383.7909187705454</v>
      </c>
      <c r="F7" s="42">
        <v>5548.9664879744978</v>
      </c>
      <c r="G7" s="42">
        <v>5610.5930207794854</v>
      </c>
      <c r="H7" s="42">
        <v>5560.3441918607732</v>
      </c>
      <c r="I7" s="42">
        <v>5609.4134391661719</v>
      </c>
      <c r="J7" s="42">
        <v>5789.6792787466993</v>
      </c>
      <c r="K7" s="42">
        <v>5784.628380305915</v>
      </c>
      <c r="L7" s="13">
        <v>5745.7994769070738</v>
      </c>
      <c r="M7" s="13">
        <v>5883.2255024697388</v>
      </c>
      <c r="N7" s="13">
        <v>5898.8802949663732</v>
      </c>
      <c r="O7" s="13">
        <v>5971.072907734866</v>
      </c>
      <c r="P7" s="13">
        <v>5990.551037874563</v>
      </c>
      <c r="Q7" s="13">
        <v>6057.1516947543496</v>
      </c>
      <c r="R7" s="48">
        <f>+(Q7+S7)/2</f>
        <v>6079.9119890613238</v>
      </c>
      <c r="S7" s="7">
        <v>6102.6722833682988</v>
      </c>
      <c r="T7" s="13">
        <v>6044.7333547765729</v>
      </c>
      <c r="U7" s="13">
        <v>6083.6736065433188</v>
      </c>
      <c r="V7" s="13">
        <v>6126.3385696887071</v>
      </c>
      <c r="W7" s="13">
        <v>6202.0993356478293</v>
      </c>
      <c r="X7" s="13">
        <v>6144.8856760919825</v>
      </c>
      <c r="Y7" s="13">
        <v>6103.3295152387363</v>
      </c>
      <c r="Z7" s="13">
        <v>6079.6275069862222</v>
      </c>
      <c r="AA7" s="13">
        <v>6173.5961171845393</v>
      </c>
      <c r="AB7" s="13">
        <v>6234.7589625861137</v>
      </c>
      <c r="AC7" s="13">
        <v>6275.9027280014679</v>
      </c>
      <c r="AD7" s="13">
        <v>6278.7672981053274</v>
      </c>
      <c r="AE7" s="13">
        <v>6370.0103749596074</v>
      </c>
      <c r="AF7" s="13">
        <v>6423.2774534499868</v>
      </c>
      <c r="AG7" s="13">
        <v>6480.1128215987728</v>
      </c>
      <c r="AH7" s="13">
        <v>6528.5025224131405</v>
      </c>
      <c r="AI7" s="13">
        <v>6544.2299482456183</v>
      </c>
      <c r="AJ7" s="13">
        <v>6380.9725995249219</v>
      </c>
      <c r="AK7" s="13">
        <v>6433.3379935542225</v>
      </c>
      <c r="AL7" s="13">
        <v>6628.3901178644282</v>
      </c>
      <c r="AM7" s="13">
        <v>6651.3486232229752</v>
      </c>
      <c r="AN7" s="13">
        <v>6495.2500528250866</v>
      </c>
      <c r="AO7" s="13">
        <v>6617.6712981371547</v>
      </c>
      <c r="AP7" s="13">
        <v>6655.0342130914387</v>
      </c>
      <c r="AQ7" s="13">
        <v>6572.7012670355107</v>
      </c>
      <c r="AR7" s="13">
        <v>6504.1077627188051</v>
      </c>
      <c r="AS7" s="13">
        <v>6449.8318373360325</v>
      </c>
      <c r="AT7" s="13">
        <v>6427.3209901802556</v>
      </c>
      <c r="AU7" s="13">
        <v>6492.6719033851577</v>
      </c>
      <c r="AV7" s="13">
        <v>6479.792972563544</v>
      </c>
      <c r="AW7" s="13">
        <v>6552.2666428910488</v>
      </c>
      <c r="AX7" s="51">
        <f>+(AW7+BA7)/2</f>
        <v>6589.9927290733967</v>
      </c>
      <c r="AY7" s="51">
        <f>+(AX7+BA7)/2</f>
        <v>6608.8557721645702</v>
      </c>
      <c r="AZ7" s="51">
        <f>+(AY7+BA7)/2</f>
        <v>6618.2872937101574</v>
      </c>
      <c r="BA7" s="31">
        <v>6627.7188152557446</v>
      </c>
      <c r="BB7" s="13">
        <v>6602.8004707883756</v>
      </c>
      <c r="BC7" s="13">
        <v>6650.0017601746995</v>
      </c>
      <c r="BD7" s="13">
        <v>6638.358096001808</v>
      </c>
      <c r="BE7" s="13">
        <v>6569.2255392000006</v>
      </c>
      <c r="BF7" s="13">
        <v>6752.5710251999999</v>
      </c>
      <c r="BG7" s="13">
        <v>6883.9741599999998</v>
      </c>
      <c r="BH7" s="13">
        <v>6745.8990799999992</v>
      </c>
      <c r="BI7" s="13">
        <v>6629.8551436999996</v>
      </c>
      <c r="BJ7" s="13">
        <v>6677.7269999999999</v>
      </c>
      <c r="BK7" s="42">
        <v>6634.6760000000004</v>
      </c>
      <c r="BL7" s="42">
        <v>6791.6660000000002</v>
      </c>
      <c r="BM7" s="42">
        <v>6769.0370000000003</v>
      </c>
      <c r="BN7" s="42">
        <v>6893.2304323463177</v>
      </c>
      <c r="BO7" s="42">
        <v>6857.3760000000002</v>
      </c>
      <c r="BP7" s="42">
        <v>6720.6049999999996</v>
      </c>
      <c r="BQ7" s="42">
        <v>5379.6390000000001</v>
      </c>
      <c r="BR7" s="42">
        <v>6041.6019999999999</v>
      </c>
      <c r="BS7" s="42">
        <v>6478.5770000000002</v>
      </c>
      <c r="BT7" s="42">
        <v>6923.5150000000003</v>
      </c>
      <c r="BU7" s="42">
        <v>6864.5320000000002</v>
      </c>
      <c r="BV7" s="42">
        <v>6959.8729999999996</v>
      </c>
      <c r="BW7" s="42">
        <v>7126.2380000000003</v>
      </c>
      <c r="BX7" s="42">
        <v>7089.9120000000003</v>
      </c>
      <c r="BY7" s="42">
        <v>7277.9440000000004</v>
      </c>
      <c r="BZ7" s="42">
        <v>7280.3639999999996</v>
      </c>
      <c r="CA7" s="42">
        <v>7338.9530000000004</v>
      </c>
      <c r="CB7" s="42">
        <v>7386.9649999999992</v>
      </c>
      <c r="CC7" s="42">
        <v>7322.7479999999996</v>
      </c>
      <c r="CD7" s="42">
        <v>7461.8869999999997</v>
      </c>
      <c r="CE7" s="42">
        <v>7524.79</v>
      </c>
      <c r="CF7" s="42">
        <v>7270.1850000000004</v>
      </c>
      <c r="CG7" s="42">
        <v>7384.2209999999986</v>
      </c>
      <c r="CH7" s="42">
        <v>7478.0829999999996</v>
      </c>
      <c r="CI7" s="42">
        <v>7524.3649999999989</v>
      </c>
      <c r="CJ7" s="42">
        <v>7455.4329999999991</v>
      </c>
    </row>
    <row r="8" spans="1:88" ht="20.149999999999999" customHeight="1" x14ac:dyDescent="0.25">
      <c r="A8" s="12" t="s">
        <v>4</v>
      </c>
      <c r="B8" s="42">
        <v>3888.0713606119307</v>
      </c>
      <c r="C8" s="42">
        <v>3856.3296271056256</v>
      </c>
      <c r="D8" s="42">
        <v>3855.4661701158052</v>
      </c>
      <c r="E8" s="42">
        <v>3981.5200888521022</v>
      </c>
      <c r="F8" s="42">
        <v>4007.0685207475385</v>
      </c>
      <c r="G8" s="42">
        <v>4059.9420284138723</v>
      </c>
      <c r="H8" s="42">
        <v>3959.8797979021283</v>
      </c>
      <c r="I8" s="42">
        <v>4027.1607665091492</v>
      </c>
      <c r="J8" s="42">
        <v>4121.6610207157437</v>
      </c>
      <c r="K8" s="42">
        <v>4230.2756157315252</v>
      </c>
      <c r="L8" s="13">
        <v>4154.4675428619494</v>
      </c>
      <c r="M8" s="13">
        <v>4274.9720586417443</v>
      </c>
      <c r="N8" s="13">
        <v>4261.4941857766698</v>
      </c>
      <c r="O8" s="13">
        <v>4326.8350652780136</v>
      </c>
      <c r="P8" s="13">
        <v>4251.635619877824</v>
      </c>
      <c r="Q8" s="13">
        <v>4330.6589381305157</v>
      </c>
      <c r="R8" s="48">
        <f>+(Q8+S8)/2</f>
        <v>4301.214250508744</v>
      </c>
      <c r="S8" s="7">
        <v>4271.7695628869724</v>
      </c>
      <c r="T8" s="13">
        <v>4319.5952676534398</v>
      </c>
      <c r="U8" s="13">
        <v>4354.3262368488513</v>
      </c>
      <c r="V8" s="13">
        <v>4299.8839256567117</v>
      </c>
      <c r="W8" s="13">
        <v>4466.5650787323675</v>
      </c>
      <c r="X8" s="13">
        <v>4503.2349546449523</v>
      </c>
      <c r="Y8" s="13">
        <v>4488.4263003912884</v>
      </c>
      <c r="Z8" s="13">
        <v>4446.4250130131695</v>
      </c>
      <c r="AA8" s="13">
        <v>4516.4424328974674</v>
      </c>
      <c r="AB8" s="13">
        <v>4449.8582592313551</v>
      </c>
      <c r="AC8" s="13">
        <v>4494.634544422508</v>
      </c>
      <c r="AD8" s="13">
        <v>4530.524481373056</v>
      </c>
      <c r="AE8" s="13">
        <v>4457.0508156406468</v>
      </c>
      <c r="AF8" s="13">
        <v>4415.2970498796194</v>
      </c>
      <c r="AG8" s="13">
        <v>4616.5759522311973</v>
      </c>
      <c r="AH8" s="13">
        <v>4642.7868517168563</v>
      </c>
      <c r="AI8" s="13">
        <v>4561.7571257109803</v>
      </c>
      <c r="AJ8" s="13">
        <v>4579.9091880206142</v>
      </c>
      <c r="AK8" s="13">
        <v>4704.4264706366293</v>
      </c>
      <c r="AL8" s="13">
        <v>4657.3412952670851</v>
      </c>
      <c r="AM8" s="13">
        <v>4618.527500756014</v>
      </c>
      <c r="AN8" s="13">
        <v>4579.4561679681328</v>
      </c>
      <c r="AO8" s="13">
        <v>4719.0916056358692</v>
      </c>
      <c r="AP8" s="13">
        <v>4675.4854180223474</v>
      </c>
      <c r="AQ8" s="13">
        <v>4731.8791211529488</v>
      </c>
      <c r="AR8" s="13">
        <v>4591.6341961881208</v>
      </c>
      <c r="AS8" s="13">
        <v>4561.0745334907842</v>
      </c>
      <c r="AT8" s="13">
        <v>4595.0821122849557</v>
      </c>
      <c r="AU8" s="13">
        <v>4760.2846078223783</v>
      </c>
      <c r="AV8" s="13">
        <v>4622.4237046537155</v>
      </c>
      <c r="AW8" s="13">
        <v>4598.767787876589</v>
      </c>
      <c r="AX8" s="51">
        <f t="shared" ref="AX8" si="0">+(AW8+BA8)/2</f>
        <v>4721.723950870959</v>
      </c>
      <c r="AY8" s="51">
        <f t="shared" ref="AY8" si="1">+(AX8+BA8)/2</f>
        <v>4783.2020323681436</v>
      </c>
      <c r="AZ8" s="51">
        <f t="shared" ref="AZ8:AZ68" si="2">+(AY8+BA8)/2</f>
        <v>4813.9410731167354</v>
      </c>
      <c r="BA8" s="31">
        <v>4844.6801138653282</v>
      </c>
      <c r="BB8" s="13">
        <v>5011.4174287999131</v>
      </c>
      <c r="BC8" s="13">
        <v>4946.7486234385779</v>
      </c>
      <c r="BD8" s="13">
        <v>4822.4641093099599</v>
      </c>
      <c r="BE8" s="13">
        <v>4941.8226350000004</v>
      </c>
      <c r="BF8" s="13">
        <v>5058.2302952999999</v>
      </c>
      <c r="BG8" s="13">
        <v>5127.3538799999988</v>
      </c>
      <c r="BH8" s="13">
        <v>5120.4828499999994</v>
      </c>
      <c r="BI8" s="13">
        <v>5127.7440223000003</v>
      </c>
      <c r="BJ8" s="13">
        <v>5144.2969999999996</v>
      </c>
      <c r="BK8" s="42">
        <v>5158.7209999999995</v>
      </c>
      <c r="BL8" s="42">
        <v>5155.6509999999998</v>
      </c>
      <c r="BM8" s="42">
        <v>5304.3559999999998</v>
      </c>
      <c r="BN8" s="42">
        <v>5215.8018747559199</v>
      </c>
      <c r="BO8" s="42">
        <v>5382.7430000000004</v>
      </c>
      <c r="BP8" s="42">
        <v>5324.5950000000003</v>
      </c>
      <c r="BQ8" s="42">
        <v>4166.4409999999998</v>
      </c>
      <c r="BR8" s="42">
        <v>4616.2470000000003</v>
      </c>
      <c r="BS8" s="42">
        <v>5045.0720000000001</v>
      </c>
      <c r="BT8" s="42">
        <v>5058.4719999999998</v>
      </c>
      <c r="BU8" s="42">
        <v>5116.9480000000003</v>
      </c>
      <c r="BV8" s="42">
        <v>5443.665</v>
      </c>
      <c r="BW8" s="42">
        <v>5517.3440000000001</v>
      </c>
      <c r="BX8" s="42">
        <v>5494.0649999999996</v>
      </c>
      <c r="BY8" s="42">
        <v>5715.3209999999999</v>
      </c>
      <c r="BZ8" s="42">
        <v>5641.7370000000001</v>
      </c>
      <c r="CA8" s="42">
        <v>5722.1490000000003</v>
      </c>
      <c r="CB8" s="42">
        <v>5804.3959999999997</v>
      </c>
      <c r="CC8" s="42">
        <v>5784.8909999999996</v>
      </c>
      <c r="CD8" s="42">
        <v>5934.3149999999996</v>
      </c>
      <c r="CE8" s="42">
        <v>5993.1469999999999</v>
      </c>
      <c r="CF8" s="42">
        <v>5843.7430000000004</v>
      </c>
      <c r="CG8" s="42">
        <v>5913.68</v>
      </c>
      <c r="CH8" s="42">
        <v>5889.9570000000003</v>
      </c>
      <c r="CI8" s="42">
        <v>6072.1189999999997</v>
      </c>
      <c r="CJ8" s="42">
        <v>5803.3760000000002</v>
      </c>
    </row>
    <row r="9" spans="1:88" ht="20.149999999999999" customHeight="1" thickBot="1" x14ac:dyDescent="0.3">
      <c r="A9" s="14" t="s">
        <v>68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49"/>
      <c r="S9" s="14"/>
      <c r="T9" s="14"/>
      <c r="U9" s="14"/>
      <c r="V9" s="14"/>
      <c r="W9" s="14"/>
      <c r="X9" s="14"/>
      <c r="Y9" s="15"/>
      <c r="Z9" s="15"/>
      <c r="AA9" s="15"/>
      <c r="AB9" s="15"/>
      <c r="AC9" s="15"/>
      <c r="AD9" s="15"/>
      <c r="AE9" s="15"/>
      <c r="AF9" s="1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37"/>
      <c r="AY9" s="37"/>
      <c r="AZ9" s="37"/>
      <c r="BA9" s="29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spans="1:88" ht="20.149999999999999" customHeight="1" x14ac:dyDescent="0.25">
      <c r="A10" s="12" t="s">
        <v>5</v>
      </c>
      <c r="B10" s="42">
        <v>1383.4756100171328</v>
      </c>
      <c r="C10" s="42">
        <v>1423.0527027775045</v>
      </c>
      <c r="D10" s="42">
        <v>1449.6652910668138</v>
      </c>
      <c r="E10" s="42">
        <v>1418.6430340012716</v>
      </c>
      <c r="F10" s="42">
        <v>1454.9737400164743</v>
      </c>
      <c r="G10" s="42">
        <v>1480.2901520514608</v>
      </c>
      <c r="H10" s="42">
        <v>1395.6569283595923</v>
      </c>
      <c r="I10" s="42">
        <v>1428.5173614564105</v>
      </c>
      <c r="J10" s="42">
        <v>1503.9975594673522</v>
      </c>
      <c r="K10" s="42">
        <v>1489.3643960933832</v>
      </c>
      <c r="L10" s="13">
        <v>1458.4174971147304</v>
      </c>
      <c r="M10" s="13">
        <v>1512.6603750037366</v>
      </c>
      <c r="N10" s="13">
        <v>1498.7001466305528</v>
      </c>
      <c r="O10" s="13">
        <v>1557.7519753287695</v>
      </c>
      <c r="P10" s="13">
        <v>1549.8781045713872</v>
      </c>
      <c r="Q10" s="13">
        <v>1477.2783455846461</v>
      </c>
      <c r="R10" s="48">
        <f>+(Q10+S10)/2</f>
        <v>1544.2545277853119</v>
      </c>
      <c r="S10" s="7">
        <v>1611.2307099859777</v>
      </c>
      <c r="T10" s="13">
        <v>1480.1298092671464</v>
      </c>
      <c r="U10" s="13">
        <v>1488.4489909585345</v>
      </c>
      <c r="V10" s="13">
        <v>1535.7078830904336</v>
      </c>
      <c r="W10" s="13">
        <v>1574.4631566951859</v>
      </c>
      <c r="X10" s="13">
        <v>1513.700649160872</v>
      </c>
      <c r="Y10" s="13">
        <v>1452.4175467869293</v>
      </c>
      <c r="Z10" s="13">
        <v>1433.4179788590604</v>
      </c>
      <c r="AA10" s="13">
        <v>1450.1718748631981</v>
      </c>
      <c r="AB10" s="13">
        <v>1450.7406888943253</v>
      </c>
      <c r="AC10" s="13">
        <v>1476.6983771737464</v>
      </c>
      <c r="AD10" s="13">
        <v>1430.1145706876478</v>
      </c>
      <c r="AE10" s="13">
        <v>1479.6159386662284</v>
      </c>
      <c r="AF10" s="13">
        <v>1434.3792697154774</v>
      </c>
      <c r="AG10" s="13">
        <v>1535.3314675773377</v>
      </c>
      <c r="AH10" s="13">
        <v>1445.6571425358081</v>
      </c>
      <c r="AI10" s="13">
        <v>1440.8245555432479</v>
      </c>
      <c r="AJ10" s="13">
        <v>1414.436501561557</v>
      </c>
      <c r="AK10" s="13">
        <v>1517.85501025381</v>
      </c>
      <c r="AL10" s="13">
        <v>1565.9983774110071</v>
      </c>
      <c r="AM10" s="13">
        <v>1466.1185686298381</v>
      </c>
      <c r="AN10" s="13">
        <v>1465.0555233424736</v>
      </c>
      <c r="AO10" s="13">
        <v>1495.3964334173411</v>
      </c>
      <c r="AP10" s="13">
        <v>1444.3576983093951</v>
      </c>
      <c r="AQ10" s="13">
        <v>1476.4805003852327</v>
      </c>
      <c r="AR10" s="13">
        <v>1470.2933785379155</v>
      </c>
      <c r="AS10" s="13">
        <v>1423.8301177352216</v>
      </c>
      <c r="AT10" s="13">
        <v>1401.4292977776513</v>
      </c>
      <c r="AU10" s="13">
        <v>1521.9076668426724</v>
      </c>
      <c r="AV10" s="13">
        <v>1390.791711641682</v>
      </c>
      <c r="AW10" s="13">
        <v>1364.8912146317214</v>
      </c>
      <c r="AX10" s="51">
        <f t="shared" ref="AX10:AX14" si="3">+(AW10+BA10)/2</f>
        <v>1369.8768813369884</v>
      </c>
      <c r="AY10" s="51">
        <f t="shared" ref="AY10:AY14" si="4">+(AX10+BA10)/2</f>
        <v>1372.3697146896218</v>
      </c>
      <c r="AZ10" s="51">
        <f t="shared" si="2"/>
        <v>1373.6161313659386</v>
      </c>
      <c r="BA10" s="31">
        <v>1374.8625480422552</v>
      </c>
      <c r="BB10" s="13">
        <v>1390.1940123971019</v>
      </c>
      <c r="BC10" s="13">
        <v>1353.5578688689236</v>
      </c>
      <c r="BD10" s="13">
        <v>1362.3813151917013</v>
      </c>
      <c r="BE10" s="13">
        <v>1412.1232230000001</v>
      </c>
      <c r="BF10" s="13">
        <v>1438.1349255000002</v>
      </c>
      <c r="BG10" s="13">
        <v>1490.9912899999999</v>
      </c>
      <c r="BH10" s="13">
        <v>1427.8531599999999</v>
      </c>
      <c r="BI10" s="13">
        <v>1355.1605723999999</v>
      </c>
      <c r="BJ10" s="13">
        <v>1357.231</v>
      </c>
      <c r="BK10" s="42">
        <v>1432.6780000000001</v>
      </c>
      <c r="BL10" s="42">
        <v>1329.231</v>
      </c>
      <c r="BM10" s="42">
        <v>1318.921</v>
      </c>
      <c r="BN10" s="42">
        <v>1282.2613185453688</v>
      </c>
      <c r="BO10" s="42">
        <v>1337.9469999999999</v>
      </c>
      <c r="BP10" s="42">
        <v>1326.04</v>
      </c>
      <c r="BQ10" s="42">
        <v>788.98699999999997</v>
      </c>
      <c r="BR10" s="42">
        <v>946.80700000000002</v>
      </c>
      <c r="BS10" s="42">
        <v>1240.836</v>
      </c>
      <c r="BT10" s="42">
        <v>1300.835</v>
      </c>
      <c r="BU10" s="42">
        <v>1321.7</v>
      </c>
      <c r="BV10" s="42">
        <v>1253.5540000000001</v>
      </c>
      <c r="BW10" s="42">
        <v>1345.5709999999999</v>
      </c>
      <c r="BX10" s="42">
        <v>1328.568</v>
      </c>
      <c r="BY10" s="42">
        <v>1391.0530000000001</v>
      </c>
      <c r="BZ10" s="42">
        <v>1426.374</v>
      </c>
      <c r="CA10" s="42">
        <v>1421.4110000000001</v>
      </c>
      <c r="CB10" s="42">
        <v>1477.7090000000001</v>
      </c>
      <c r="CC10" s="42">
        <v>1441.182</v>
      </c>
      <c r="CD10" s="42">
        <v>1485.7760000000001</v>
      </c>
      <c r="CE10" s="42">
        <v>1464.634</v>
      </c>
      <c r="CF10" s="42">
        <v>1458.8779999999999</v>
      </c>
      <c r="CG10" s="42">
        <v>1451.7260000000001</v>
      </c>
      <c r="CH10" s="42">
        <v>1401.501</v>
      </c>
      <c r="CI10" s="42">
        <v>1443.5119999999999</v>
      </c>
      <c r="CJ10" s="42">
        <v>1447.922</v>
      </c>
    </row>
    <row r="11" spans="1:88" ht="20.149999999999999" customHeight="1" x14ac:dyDescent="0.25">
      <c r="A11" s="12" t="s">
        <v>6</v>
      </c>
      <c r="B11" s="42">
        <v>2311.0994913792961</v>
      </c>
      <c r="C11" s="42">
        <v>2432.5045870896515</v>
      </c>
      <c r="D11" s="42">
        <v>2399.5002273355258</v>
      </c>
      <c r="E11" s="42">
        <v>2487.8013061822476</v>
      </c>
      <c r="F11" s="42">
        <v>2561.1565883415456</v>
      </c>
      <c r="G11" s="42">
        <v>2605.7105019359956</v>
      </c>
      <c r="H11" s="42">
        <v>2505.7407621173356</v>
      </c>
      <c r="I11" s="42">
        <v>2531.1863018622121</v>
      </c>
      <c r="J11" s="42">
        <v>2615.8905130706585</v>
      </c>
      <c r="K11" s="42">
        <v>2716.2274776529202</v>
      </c>
      <c r="L11" s="13">
        <v>2613.0851156688377</v>
      </c>
      <c r="M11" s="13">
        <v>2735.3004403433811</v>
      </c>
      <c r="N11" s="13">
        <v>2808.7661760596802</v>
      </c>
      <c r="O11" s="13">
        <v>2807.2653628088524</v>
      </c>
      <c r="P11" s="13">
        <v>2678.4093945561663</v>
      </c>
      <c r="Q11" s="13">
        <v>2813.7625246512639</v>
      </c>
      <c r="R11" s="48">
        <f t="shared" ref="R11:R68" si="5">+(Q11+S11)/2</f>
        <v>2783.8045275240065</v>
      </c>
      <c r="S11" s="7">
        <v>2753.8465303967496</v>
      </c>
      <c r="T11" s="13">
        <v>2791.8307704122622</v>
      </c>
      <c r="U11" s="13">
        <v>2792.93578683034</v>
      </c>
      <c r="V11" s="13">
        <v>2718.8404615009686</v>
      </c>
      <c r="W11" s="13">
        <v>2818.6052581273152</v>
      </c>
      <c r="X11" s="13">
        <v>2802.289775979787</v>
      </c>
      <c r="Y11" s="13">
        <v>2890.9892736394449</v>
      </c>
      <c r="Z11" s="13">
        <v>2848.8555244522413</v>
      </c>
      <c r="AA11" s="13">
        <v>2865.0664069952968</v>
      </c>
      <c r="AB11" s="13">
        <v>2947.385608373072</v>
      </c>
      <c r="AC11" s="13">
        <v>2944.3964573155363</v>
      </c>
      <c r="AD11" s="13">
        <v>2983.8328818999371</v>
      </c>
      <c r="AE11" s="13">
        <v>2944.9497439169295</v>
      </c>
      <c r="AF11" s="13">
        <v>2907.9047188047421</v>
      </c>
      <c r="AG11" s="13">
        <v>2990.1658555181584</v>
      </c>
      <c r="AH11" s="13">
        <v>3004.21145034649</v>
      </c>
      <c r="AI11" s="13">
        <v>2958.7400998141029</v>
      </c>
      <c r="AJ11" s="13">
        <v>2903.8773553184833</v>
      </c>
      <c r="AK11" s="13">
        <v>2852.9244117319558</v>
      </c>
      <c r="AL11" s="13">
        <v>2992.0147111316542</v>
      </c>
      <c r="AM11" s="13">
        <v>3047.8474857897368</v>
      </c>
      <c r="AN11" s="13">
        <v>2846.8122555776336</v>
      </c>
      <c r="AO11" s="13">
        <v>2911.5894472726459</v>
      </c>
      <c r="AP11" s="13">
        <v>2931.3032956933166</v>
      </c>
      <c r="AQ11" s="13">
        <v>3067.1866561859974</v>
      </c>
      <c r="AR11" s="13">
        <v>2879.0388503244221</v>
      </c>
      <c r="AS11" s="13">
        <v>2844.9359627544491</v>
      </c>
      <c r="AT11" s="13">
        <v>2842.1275696983821</v>
      </c>
      <c r="AU11" s="13">
        <v>2996.3707364158208</v>
      </c>
      <c r="AV11" s="13">
        <v>2907.0917960457191</v>
      </c>
      <c r="AW11" s="13">
        <v>2768.0515582541211</v>
      </c>
      <c r="AX11" s="51">
        <f t="shared" si="3"/>
        <v>2776.8913219367787</v>
      </c>
      <c r="AY11" s="51">
        <f t="shared" si="4"/>
        <v>2781.3112037781075</v>
      </c>
      <c r="AZ11" s="51">
        <f t="shared" si="2"/>
        <v>2783.5211446987714</v>
      </c>
      <c r="BA11" s="31">
        <v>2785.7310856194358</v>
      </c>
      <c r="BB11" s="13">
        <v>2805.8306267598095</v>
      </c>
      <c r="BC11" s="13">
        <v>2767.1991347337685</v>
      </c>
      <c r="BD11" s="13">
        <v>2790.3970846349366</v>
      </c>
      <c r="BE11" s="13">
        <v>2736.7701974000001</v>
      </c>
      <c r="BF11" s="13">
        <v>2793.0133686000004</v>
      </c>
      <c r="BG11" s="13">
        <v>2868.26971</v>
      </c>
      <c r="BH11" s="13">
        <v>2895.7053499999997</v>
      </c>
      <c r="BI11" s="13">
        <v>2812.3654804000003</v>
      </c>
      <c r="BJ11" s="13">
        <v>2832.0970000000002</v>
      </c>
      <c r="BK11" s="42">
        <v>2760.241</v>
      </c>
      <c r="BL11" s="42">
        <v>2912.4290000000001</v>
      </c>
      <c r="BM11" s="42">
        <v>2930.4380000000001</v>
      </c>
      <c r="BN11" s="42">
        <v>2894.3588550549944</v>
      </c>
      <c r="BO11" s="42">
        <v>2964.2170000000001</v>
      </c>
      <c r="BP11" s="42">
        <v>2911.6030000000001</v>
      </c>
      <c r="BQ11" s="42">
        <v>2429.0050000000001</v>
      </c>
      <c r="BR11" s="42">
        <v>2736.6030000000001</v>
      </c>
      <c r="BS11" s="42">
        <v>2789.17</v>
      </c>
      <c r="BT11" s="42">
        <v>2737.1619999999998</v>
      </c>
      <c r="BU11" s="42">
        <v>2775.509</v>
      </c>
      <c r="BV11" s="42">
        <v>2920.7170000000001</v>
      </c>
      <c r="BW11" s="42">
        <v>3068.6550000000002</v>
      </c>
      <c r="BX11" s="42">
        <v>3172.2190000000001</v>
      </c>
      <c r="BY11" s="42">
        <v>3272.616</v>
      </c>
      <c r="BZ11" s="42">
        <v>3091.5990000000002</v>
      </c>
      <c r="CA11" s="42">
        <v>3187.0239999999999</v>
      </c>
      <c r="CB11" s="42">
        <v>3261.5509999999999</v>
      </c>
      <c r="CC11" s="42">
        <v>3149.2959999999998</v>
      </c>
      <c r="CD11" s="42">
        <v>3253.248</v>
      </c>
      <c r="CE11" s="42">
        <v>3288.2759999999998</v>
      </c>
      <c r="CF11" s="42">
        <v>3098.8490000000002</v>
      </c>
      <c r="CG11" s="42">
        <v>3049.5940000000001</v>
      </c>
      <c r="CH11" s="42">
        <v>3205.5450000000001</v>
      </c>
      <c r="CI11" s="42">
        <v>3271.5929999999998</v>
      </c>
      <c r="CJ11" s="42">
        <v>3098.5160000000001</v>
      </c>
    </row>
    <row r="12" spans="1:88" ht="20.149999999999999" customHeight="1" x14ac:dyDescent="0.25">
      <c r="A12" s="12" t="s">
        <v>7</v>
      </c>
      <c r="B12" s="42">
        <v>3173.4891331065896</v>
      </c>
      <c r="C12" s="42">
        <v>3156.5382286921713</v>
      </c>
      <c r="D12" s="42">
        <v>3190.5329197483188</v>
      </c>
      <c r="E12" s="42">
        <v>3133.9536230064482</v>
      </c>
      <c r="F12" s="42">
        <v>3193.0790096502092</v>
      </c>
      <c r="G12" s="42">
        <v>3244.166728359512</v>
      </c>
      <c r="H12" s="42">
        <v>3300.2904209151493</v>
      </c>
      <c r="I12" s="42">
        <v>3283.7097616090864</v>
      </c>
      <c r="J12" s="42">
        <v>3330.5061439939659</v>
      </c>
      <c r="K12" s="42">
        <v>3352.0990631606251</v>
      </c>
      <c r="L12" s="13">
        <v>3395.4096823255927</v>
      </c>
      <c r="M12" s="13">
        <v>3348.5413545377219</v>
      </c>
      <c r="N12" s="13">
        <v>3330.7313604540641</v>
      </c>
      <c r="O12" s="13">
        <v>3371.7583717777866</v>
      </c>
      <c r="P12" s="13">
        <v>3490.0821489314735</v>
      </c>
      <c r="Q12" s="13">
        <v>3532.9525424603212</v>
      </c>
      <c r="R12" s="48">
        <f t="shared" si="5"/>
        <v>3507.5999476023621</v>
      </c>
      <c r="S12" s="7">
        <v>3482.2473527444031</v>
      </c>
      <c r="T12" s="13">
        <v>3602.1901204218511</v>
      </c>
      <c r="U12" s="13">
        <v>3564.1868232599663</v>
      </c>
      <c r="V12" s="13">
        <v>3608.5734652239148</v>
      </c>
      <c r="W12" s="13">
        <v>3650.0522429335069</v>
      </c>
      <c r="X12" s="13">
        <v>3664.7213004412165</v>
      </c>
      <c r="Y12" s="13">
        <v>3630.3226456228881</v>
      </c>
      <c r="Z12" s="13">
        <v>3647.6270321036513</v>
      </c>
      <c r="AA12" s="13">
        <v>3665.3902958391845</v>
      </c>
      <c r="AB12" s="13">
        <v>3653.4536980197981</v>
      </c>
      <c r="AC12" s="13">
        <v>3677.2194165365158</v>
      </c>
      <c r="AD12" s="13">
        <v>3689.9469403042203</v>
      </c>
      <c r="AE12" s="13">
        <v>3686.7212127341363</v>
      </c>
      <c r="AF12" s="13">
        <v>3749.5920724224434</v>
      </c>
      <c r="AG12" s="13">
        <v>3815.5636252601112</v>
      </c>
      <c r="AH12" s="13">
        <v>3902.1441634655771</v>
      </c>
      <c r="AI12" s="13">
        <v>3931.6373465172928</v>
      </c>
      <c r="AJ12" s="13">
        <v>3884.4399814192038</v>
      </c>
      <c r="AK12" s="13">
        <v>3947.7800711753289</v>
      </c>
      <c r="AL12" s="13">
        <v>3908.1271374916059</v>
      </c>
      <c r="AM12" s="13">
        <v>3933.1418024325253</v>
      </c>
      <c r="AN12" s="13">
        <v>3971.0476339216616</v>
      </c>
      <c r="AO12" s="13">
        <v>4065.2144771761905</v>
      </c>
      <c r="AP12" s="13">
        <v>4090.2733558558562</v>
      </c>
      <c r="AQ12" s="13">
        <v>3946.111491203591</v>
      </c>
      <c r="AR12" s="13">
        <v>3960.8943740682089</v>
      </c>
      <c r="AS12" s="13">
        <v>3923.6588184825373</v>
      </c>
      <c r="AT12" s="13">
        <v>3957.6736061821271</v>
      </c>
      <c r="AU12" s="13">
        <v>3877.1669204623468</v>
      </c>
      <c r="AV12" s="13">
        <v>3948.4129334746603</v>
      </c>
      <c r="AW12" s="13">
        <v>4149.6562292205472</v>
      </c>
      <c r="AX12" s="51">
        <f t="shared" si="3"/>
        <v>4095.6097618239937</v>
      </c>
      <c r="AY12" s="51">
        <f t="shared" si="4"/>
        <v>4068.586528125717</v>
      </c>
      <c r="AZ12" s="51">
        <f t="shared" si="2"/>
        <v>4055.0749112765789</v>
      </c>
      <c r="BA12" s="31">
        <v>4041.5632944274403</v>
      </c>
      <c r="BB12" s="13">
        <v>4083.6752415184765</v>
      </c>
      <c r="BC12" s="13">
        <v>4183.7600179258125</v>
      </c>
      <c r="BD12" s="13">
        <v>3952.4706974309311</v>
      </c>
      <c r="BE12" s="13">
        <v>4002.4740222</v>
      </c>
      <c r="BF12" s="13">
        <v>4183.0675340999996</v>
      </c>
      <c r="BG12" s="13">
        <v>4188.1164999999992</v>
      </c>
      <c r="BH12" s="13">
        <v>4137.9548499999992</v>
      </c>
      <c r="BI12" s="13">
        <v>4209.5762690000001</v>
      </c>
      <c r="BJ12" s="13">
        <v>4255.3509999999997</v>
      </c>
      <c r="BK12" s="42">
        <v>4212.9219999999996</v>
      </c>
      <c r="BL12" s="42">
        <v>4272.7659999999996</v>
      </c>
      <c r="BM12" s="42">
        <v>4326.1620000000003</v>
      </c>
      <c r="BN12" s="42">
        <v>4428.6332885919892</v>
      </c>
      <c r="BO12" s="42">
        <v>4414.098</v>
      </c>
      <c r="BP12" s="42">
        <v>4338.9979999999996</v>
      </c>
      <c r="BQ12" s="42">
        <v>3916.402</v>
      </c>
      <c r="BR12" s="42">
        <v>4175.1779999999999</v>
      </c>
      <c r="BS12" s="42">
        <v>4445.308</v>
      </c>
      <c r="BT12" s="42">
        <v>4648.433</v>
      </c>
      <c r="BU12" s="42">
        <v>4728.2889999999998</v>
      </c>
      <c r="BV12" s="42">
        <v>4791.6139999999996</v>
      </c>
      <c r="BW12" s="42">
        <v>4842.0450000000001</v>
      </c>
      <c r="BX12" s="42">
        <v>4761.1580000000004</v>
      </c>
      <c r="BY12" s="42">
        <v>4893.5140000000001</v>
      </c>
      <c r="BZ12" s="42">
        <v>4976.2299999999996</v>
      </c>
      <c r="CA12" s="42">
        <v>4950.4489999999996</v>
      </c>
      <c r="CB12" s="42">
        <v>4892.6229999999996</v>
      </c>
      <c r="CC12" s="42">
        <v>5048.8040000000001</v>
      </c>
      <c r="CD12" s="42">
        <v>5167.2389999999996</v>
      </c>
      <c r="CE12" s="42">
        <v>5127.3779999999997</v>
      </c>
      <c r="CF12" s="42">
        <v>4924.0990000000002</v>
      </c>
      <c r="CG12" s="42">
        <v>5056.9409999999998</v>
      </c>
      <c r="CH12" s="42">
        <v>5192.26</v>
      </c>
      <c r="CI12" s="42">
        <v>5122.1189999999997</v>
      </c>
      <c r="CJ12" s="42">
        <v>5033.8609999999999</v>
      </c>
    </row>
    <row r="13" spans="1:88" ht="20.149999999999999" customHeight="1" x14ac:dyDescent="0.25">
      <c r="A13" s="12" t="s">
        <v>8</v>
      </c>
      <c r="B13" s="42">
        <v>1462.8035728387401</v>
      </c>
      <c r="C13" s="42">
        <v>1455.0701462449008</v>
      </c>
      <c r="D13" s="42">
        <v>1460.5282733530496</v>
      </c>
      <c r="E13" s="42">
        <v>1562.385936343946</v>
      </c>
      <c r="F13" s="42">
        <v>1579.9763190087149</v>
      </c>
      <c r="G13" s="42">
        <v>1543.1594564213924</v>
      </c>
      <c r="H13" s="42">
        <v>1532.5754373567156</v>
      </c>
      <c r="I13" s="42">
        <v>1534.5329084672776</v>
      </c>
      <c r="J13" s="42">
        <v>1576.9234653485535</v>
      </c>
      <c r="K13" s="42">
        <v>1565.9040676607356</v>
      </c>
      <c r="L13" s="13">
        <v>1556.6099990666119</v>
      </c>
      <c r="M13" s="13">
        <v>1696.3259642288822</v>
      </c>
      <c r="N13" s="13">
        <v>1635.802569489774</v>
      </c>
      <c r="O13" s="13">
        <v>1612.8938082347327</v>
      </c>
      <c r="P13" s="13">
        <v>1628.5544416053203</v>
      </c>
      <c r="Q13" s="13">
        <v>1689.1017878034349</v>
      </c>
      <c r="R13" s="48">
        <f t="shared" si="5"/>
        <v>1679.9174417306335</v>
      </c>
      <c r="S13" s="7">
        <v>1670.7330956578319</v>
      </c>
      <c r="T13" s="13">
        <v>1679.2103316486073</v>
      </c>
      <c r="U13" s="13">
        <v>1729.3960981747225</v>
      </c>
      <c r="V13" s="13">
        <v>1724.7739492502972</v>
      </c>
      <c r="W13" s="13">
        <v>1751.721913179578</v>
      </c>
      <c r="X13" s="13">
        <v>1774.35668530011</v>
      </c>
      <c r="Y13" s="13">
        <v>1710.254177422562</v>
      </c>
      <c r="Z13" s="13">
        <v>1720.4451160649237</v>
      </c>
      <c r="AA13" s="13">
        <v>1791.7802575668929</v>
      </c>
      <c r="AB13" s="13">
        <v>1721.8552457033895</v>
      </c>
      <c r="AC13" s="13">
        <v>1706.6814523703099</v>
      </c>
      <c r="AD13" s="13">
        <v>1754.6536698698819</v>
      </c>
      <c r="AE13" s="13">
        <v>1781.1618284619385</v>
      </c>
      <c r="AF13" s="13">
        <v>1797.7506186603493</v>
      </c>
      <c r="AG13" s="13">
        <v>1814.5506824601962</v>
      </c>
      <c r="AH13" s="13">
        <v>1809.7206794680483</v>
      </c>
      <c r="AI13" s="13">
        <v>1797.8476882354059</v>
      </c>
      <c r="AJ13" s="13">
        <v>1850.0237578855722</v>
      </c>
      <c r="AK13" s="13">
        <v>1834.5652220672459</v>
      </c>
      <c r="AL13" s="13">
        <v>1807.7008157907258</v>
      </c>
      <c r="AM13" s="13">
        <v>1812.6616681464709</v>
      </c>
      <c r="AN13" s="13">
        <v>1842.6064362260563</v>
      </c>
      <c r="AO13" s="13">
        <v>1835.7075664526849</v>
      </c>
      <c r="AP13" s="13">
        <v>1825.8147773624669</v>
      </c>
      <c r="AQ13" s="13">
        <v>1817.9619564585489</v>
      </c>
      <c r="AR13" s="13">
        <v>1805.7876334684938</v>
      </c>
      <c r="AS13" s="13">
        <v>1848.8216692846397</v>
      </c>
      <c r="AT13" s="13">
        <v>1810.7709837750353</v>
      </c>
      <c r="AU13" s="13">
        <v>1825.2654553073817</v>
      </c>
      <c r="AV13" s="13">
        <v>1846.8557453145168</v>
      </c>
      <c r="AW13" s="13">
        <v>1895.2370599181602</v>
      </c>
      <c r="AX13" s="51">
        <f t="shared" si="3"/>
        <v>2002.6467426661889</v>
      </c>
      <c r="AY13" s="51">
        <f t="shared" si="4"/>
        <v>2056.3515840402033</v>
      </c>
      <c r="AZ13" s="51">
        <f t="shared" si="2"/>
        <v>2083.2040047272103</v>
      </c>
      <c r="BA13" s="31">
        <v>2110.0564254142173</v>
      </c>
      <c r="BB13" s="13">
        <v>2106.2815194019363</v>
      </c>
      <c r="BC13" s="13">
        <v>2087.5638329142025</v>
      </c>
      <c r="BD13" s="13">
        <v>2151.0378194552709</v>
      </c>
      <c r="BE13" s="13">
        <v>2193.4209948000002</v>
      </c>
      <c r="BF13" s="13">
        <v>2141.4311919000002</v>
      </c>
      <c r="BG13" s="13">
        <v>2176.7257399999999</v>
      </c>
      <c r="BH13" s="13">
        <v>2064.5490799999998</v>
      </c>
      <c r="BI13" s="13">
        <v>2123.4187696999998</v>
      </c>
      <c r="BJ13" s="13">
        <v>2170.1680000000001</v>
      </c>
      <c r="BK13" s="42">
        <v>2150.81</v>
      </c>
      <c r="BL13" s="42">
        <v>2110.6669999999999</v>
      </c>
      <c r="BM13" s="42">
        <v>2176.616</v>
      </c>
      <c r="BN13" s="42">
        <v>2174.273692329667</v>
      </c>
      <c r="BO13" s="42">
        <v>2205.2759999999998</v>
      </c>
      <c r="BP13" s="42">
        <v>2171.826</v>
      </c>
      <c r="BQ13" s="42">
        <v>1654.4179999999999</v>
      </c>
      <c r="BR13" s="42">
        <v>1840.49</v>
      </c>
      <c r="BS13" s="42">
        <v>1952.1579999999999</v>
      </c>
      <c r="BT13" s="42">
        <v>2121.7539999999999</v>
      </c>
      <c r="BU13" s="42">
        <v>2109.875</v>
      </c>
      <c r="BV13" s="42">
        <v>2216.4720000000002</v>
      </c>
      <c r="BW13" s="42">
        <v>2199.0509999999999</v>
      </c>
      <c r="BX13" s="42">
        <v>2130.1489999999999</v>
      </c>
      <c r="BY13" s="42">
        <v>2182.047</v>
      </c>
      <c r="BZ13" s="42">
        <v>2284.7420000000002</v>
      </c>
      <c r="CA13" s="42">
        <v>2309.232</v>
      </c>
      <c r="CB13" s="42">
        <v>2344.886</v>
      </c>
      <c r="CC13" s="42">
        <v>2239.962</v>
      </c>
      <c r="CD13" s="42">
        <v>2227.1379999999999</v>
      </c>
      <c r="CE13" s="42">
        <v>2326.1860000000001</v>
      </c>
      <c r="CF13" s="42">
        <v>2389.5010000000002</v>
      </c>
      <c r="CG13" s="42">
        <v>2402.5340000000001</v>
      </c>
      <c r="CH13" s="42">
        <v>2230.5430000000001</v>
      </c>
      <c r="CI13" s="42">
        <v>2377.5070000000001</v>
      </c>
      <c r="CJ13" s="42">
        <v>2411.8040000000001</v>
      </c>
    </row>
    <row r="14" spans="1:88" ht="20.149999999999999" customHeight="1" x14ac:dyDescent="0.25">
      <c r="A14" s="12" t="s">
        <v>9</v>
      </c>
      <c r="B14" s="42">
        <v>692.4424911679032</v>
      </c>
      <c r="C14" s="42">
        <v>783.19772276891263</v>
      </c>
      <c r="D14" s="42">
        <v>758.29736061592109</v>
      </c>
      <c r="E14" s="42">
        <v>762.52710808873394</v>
      </c>
      <c r="F14" s="42">
        <v>766.84935170509232</v>
      </c>
      <c r="G14" s="42">
        <v>797.20821042499779</v>
      </c>
      <c r="H14" s="42">
        <v>785.96044101410837</v>
      </c>
      <c r="I14" s="42">
        <v>858.62787228033403</v>
      </c>
      <c r="J14" s="42">
        <v>884.02261758191355</v>
      </c>
      <c r="K14" s="42">
        <v>891.30899146977595</v>
      </c>
      <c r="L14" s="13">
        <v>876.74472559325125</v>
      </c>
      <c r="M14" s="13">
        <v>865.36942699776102</v>
      </c>
      <c r="N14" s="13">
        <v>886.37422810897158</v>
      </c>
      <c r="O14" s="13">
        <v>948.23845486273831</v>
      </c>
      <c r="P14" s="13">
        <v>895.2625680880393</v>
      </c>
      <c r="Q14" s="13">
        <v>874.71543238519791</v>
      </c>
      <c r="R14" s="48">
        <f t="shared" si="5"/>
        <v>865.54979492775306</v>
      </c>
      <c r="S14" s="7">
        <v>856.38415747030808</v>
      </c>
      <c r="T14" s="13">
        <v>810.96759068014489</v>
      </c>
      <c r="U14" s="13">
        <v>863.03214416860692</v>
      </c>
      <c r="V14" s="13">
        <v>838.32673627980444</v>
      </c>
      <c r="W14" s="13">
        <v>873.82184344461086</v>
      </c>
      <c r="X14" s="13">
        <v>893.0522198549512</v>
      </c>
      <c r="Y14" s="13">
        <v>907.7721721581994</v>
      </c>
      <c r="Z14" s="13">
        <v>875.70686851951427</v>
      </c>
      <c r="AA14" s="13">
        <v>917.62971481743375</v>
      </c>
      <c r="AB14" s="13">
        <v>911.18198082688457</v>
      </c>
      <c r="AC14" s="13">
        <v>965.54156902786929</v>
      </c>
      <c r="AD14" s="13">
        <v>950.74371671669564</v>
      </c>
      <c r="AE14" s="13">
        <v>934.61246682102103</v>
      </c>
      <c r="AF14" s="13">
        <v>948.94782372659461</v>
      </c>
      <c r="AG14" s="13">
        <v>941.07714301416684</v>
      </c>
      <c r="AH14" s="13">
        <v>1009.5559383140717</v>
      </c>
      <c r="AI14" s="13">
        <v>976.93738384654966</v>
      </c>
      <c r="AJ14" s="13">
        <v>908.10419136071835</v>
      </c>
      <c r="AK14" s="13">
        <v>984.63974896251148</v>
      </c>
      <c r="AL14" s="13">
        <v>1011.8903713065193</v>
      </c>
      <c r="AM14" s="13">
        <v>1010.1065989804183</v>
      </c>
      <c r="AN14" s="13">
        <v>949.18437172539382</v>
      </c>
      <c r="AO14" s="13">
        <v>1028.8549794541611</v>
      </c>
      <c r="AP14" s="13">
        <v>1038.7705038927511</v>
      </c>
      <c r="AQ14" s="13">
        <v>996.83978395508893</v>
      </c>
      <c r="AR14" s="13">
        <v>979.72772250788387</v>
      </c>
      <c r="AS14" s="13">
        <v>969.65980256996886</v>
      </c>
      <c r="AT14" s="13">
        <v>1010.4016450320146</v>
      </c>
      <c r="AU14" s="13">
        <v>1032.2457321793145</v>
      </c>
      <c r="AV14" s="13">
        <v>1009.0644907406819</v>
      </c>
      <c r="AW14" s="13">
        <v>973.19836874308999</v>
      </c>
      <c r="AX14" s="51">
        <f t="shared" si="3"/>
        <v>1066.6919721804079</v>
      </c>
      <c r="AY14" s="51">
        <f t="shared" si="4"/>
        <v>1113.4387738990667</v>
      </c>
      <c r="AZ14" s="51">
        <f t="shared" si="2"/>
        <v>1136.8121747583962</v>
      </c>
      <c r="BA14" s="31">
        <v>1160.1855756177256</v>
      </c>
      <c r="BB14" s="13">
        <v>1228.2364995109604</v>
      </c>
      <c r="BC14" s="13">
        <v>1204.6695291705719</v>
      </c>
      <c r="BD14" s="13">
        <v>1204.5352885989275</v>
      </c>
      <c r="BE14" s="13">
        <v>1166.2597368000002</v>
      </c>
      <c r="BF14" s="13">
        <v>1255.1543004</v>
      </c>
      <c r="BG14" s="13">
        <v>1287.2247999999997</v>
      </c>
      <c r="BH14" s="13">
        <v>1340.3194899999999</v>
      </c>
      <c r="BI14" s="13">
        <v>1257.0780745</v>
      </c>
      <c r="BJ14" s="13">
        <v>1207.1769999999999</v>
      </c>
      <c r="BK14" s="42">
        <v>1236.7460000000001</v>
      </c>
      <c r="BL14" s="42">
        <v>1322.2239999999999</v>
      </c>
      <c r="BM14" s="42">
        <v>1321.2560000000001</v>
      </c>
      <c r="BN14" s="42">
        <v>1329.5051525802178</v>
      </c>
      <c r="BO14" s="42">
        <v>1318.5809999999999</v>
      </c>
      <c r="BP14" s="42">
        <v>1296.7329999999999</v>
      </c>
      <c r="BQ14" s="42">
        <v>757.26800000000003</v>
      </c>
      <c r="BR14" s="42">
        <v>958.77099999999996</v>
      </c>
      <c r="BS14" s="42">
        <v>1096.1769999999999</v>
      </c>
      <c r="BT14" s="42">
        <v>1173.8030000000001</v>
      </c>
      <c r="BU14" s="42">
        <v>1046.107</v>
      </c>
      <c r="BV14" s="42">
        <v>1221.181</v>
      </c>
      <c r="BW14" s="42">
        <v>1188.26</v>
      </c>
      <c r="BX14" s="42">
        <v>1191.883</v>
      </c>
      <c r="BY14" s="42">
        <v>1254.0350000000001</v>
      </c>
      <c r="BZ14" s="42">
        <v>1143.1559999999999</v>
      </c>
      <c r="CA14" s="42">
        <v>1192.9860000000001</v>
      </c>
      <c r="CB14" s="42">
        <v>1214.5920000000001</v>
      </c>
      <c r="CC14" s="42">
        <v>1228.395</v>
      </c>
      <c r="CD14" s="42">
        <v>1262.8009999999999</v>
      </c>
      <c r="CE14" s="42">
        <v>1311.463</v>
      </c>
      <c r="CF14" s="42">
        <v>1242.6010000000001</v>
      </c>
      <c r="CG14" s="42">
        <v>1337.106</v>
      </c>
      <c r="CH14" s="42">
        <v>1338.191</v>
      </c>
      <c r="CI14" s="42">
        <v>1381.7529999999999</v>
      </c>
      <c r="CJ14" s="42">
        <v>1266.7059999999999</v>
      </c>
    </row>
    <row r="15" spans="1:88" ht="20.149999999999999" customHeight="1" thickBot="1" x14ac:dyDescent="0.3">
      <c r="A15" s="14" t="s">
        <v>10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49"/>
      <c r="S15" s="14"/>
      <c r="T15" s="14"/>
      <c r="U15" s="14"/>
      <c r="V15" s="14"/>
      <c r="W15" s="14"/>
      <c r="X15" s="14"/>
      <c r="Y15" s="15"/>
      <c r="Z15" s="15"/>
      <c r="AA15" s="15"/>
      <c r="AB15" s="15"/>
      <c r="AC15" s="15"/>
      <c r="AD15" s="15"/>
      <c r="AE15" s="15"/>
      <c r="AF15" s="1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7"/>
      <c r="AY15" s="37"/>
      <c r="AZ15" s="37"/>
      <c r="BA15" s="29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1:88" ht="20.149999999999999" customHeight="1" x14ac:dyDescent="0.25">
      <c r="A16" s="12" t="s">
        <v>11</v>
      </c>
      <c r="B16" s="42">
        <v>4605.5099024778119</v>
      </c>
      <c r="C16" s="42">
        <v>4817.2878789407623</v>
      </c>
      <c r="D16" s="42">
        <v>4730.3022065032119</v>
      </c>
      <c r="E16" s="42">
        <v>4793.2065670907923</v>
      </c>
      <c r="F16" s="42">
        <v>4902.6255154476266</v>
      </c>
      <c r="G16" s="42">
        <v>4934.7648371548648</v>
      </c>
      <c r="H16" s="42">
        <v>4907.7169461853828</v>
      </c>
      <c r="I16" s="42">
        <v>4891.6701063652472</v>
      </c>
      <c r="J16" s="42">
        <v>5072.6131984111735</v>
      </c>
      <c r="K16" s="42">
        <v>5072.0338179779801</v>
      </c>
      <c r="L16" s="13">
        <v>5005.0505321997953</v>
      </c>
      <c r="M16" s="13">
        <v>5129.362530458543</v>
      </c>
      <c r="N16" s="13">
        <v>5197.1227599986751</v>
      </c>
      <c r="O16" s="13">
        <v>5128.5181616772061</v>
      </c>
      <c r="P16" s="13">
        <v>5119.3904085198465</v>
      </c>
      <c r="Q16" s="13">
        <v>5243.8232113963613</v>
      </c>
      <c r="R16" s="48">
        <f t="shared" si="5"/>
        <v>5183.4093224570979</v>
      </c>
      <c r="S16" s="7">
        <v>5122.9954335178345</v>
      </c>
      <c r="T16" s="13">
        <v>5095.3214548071901</v>
      </c>
      <c r="U16" s="13">
        <v>5231.0551446761019</v>
      </c>
      <c r="V16" s="13">
        <v>5198.8088121679839</v>
      </c>
      <c r="W16" s="13">
        <v>5238.4088626762868</v>
      </c>
      <c r="X16" s="13">
        <v>5223.8395436670107</v>
      </c>
      <c r="Y16" s="13">
        <v>5236.9644125842196</v>
      </c>
      <c r="Z16" s="13">
        <v>5246.9447739018824</v>
      </c>
      <c r="AA16" s="13">
        <v>5276.0261877225184</v>
      </c>
      <c r="AB16" s="13">
        <v>5251.6659001752469</v>
      </c>
      <c r="AC16" s="13">
        <v>5309.614454044492</v>
      </c>
      <c r="AD16" s="13">
        <v>5345.6138511973104</v>
      </c>
      <c r="AE16" s="13">
        <v>5406.5065617474538</v>
      </c>
      <c r="AF16" s="13">
        <v>5470.8649949135197</v>
      </c>
      <c r="AG16" s="13">
        <v>5566.8679936949975</v>
      </c>
      <c r="AH16" s="13">
        <v>5578.2078950353762</v>
      </c>
      <c r="AI16" s="13">
        <v>5652.2000948134864</v>
      </c>
      <c r="AJ16" s="13">
        <v>5628.6442271460037</v>
      </c>
      <c r="AK16" s="13">
        <v>5629.0222951237611</v>
      </c>
      <c r="AL16" s="13">
        <v>5590.90497944855</v>
      </c>
      <c r="AM16" s="13">
        <v>5677.6970255327378</v>
      </c>
      <c r="AN16" s="13">
        <v>5607.709527390497</v>
      </c>
      <c r="AO16" s="13">
        <v>5770.051880954662</v>
      </c>
      <c r="AP16" s="13">
        <v>5683.6835405079255</v>
      </c>
      <c r="AQ16" s="13">
        <v>5618.3911215851258</v>
      </c>
      <c r="AR16" s="13">
        <v>5572.0031268727189</v>
      </c>
      <c r="AS16" s="13">
        <v>5556.234329939145</v>
      </c>
      <c r="AT16" s="13">
        <v>5575.3267160198766</v>
      </c>
      <c r="AU16" s="13">
        <v>5622.6680056657888</v>
      </c>
      <c r="AV16" s="13">
        <v>5615.7234275153814</v>
      </c>
      <c r="AW16" s="13">
        <v>5657.523993720557</v>
      </c>
      <c r="AX16" s="51">
        <f t="shared" ref="AX16:AX19" si="6">+(AW16+BA16)/2</f>
        <v>5669.5938932921817</v>
      </c>
      <c r="AY16" s="51">
        <f t="shared" ref="AY16:AY19" si="7">+(AX16+BA16)/2</f>
        <v>5675.6288430779932</v>
      </c>
      <c r="AZ16" s="51">
        <f t="shared" si="2"/>
        <v>5678.646317970899</v>
      </c>
      <c r="BA16" s="31">
        <v>5681.6637928638056</v>
      </c>
      <c r="BB16" s="13">
        <v>5694.6730299033834</v>
      </c>
      <c r="BC16" s="13">
        <v>5750.3811357433842</v>
      </c>
      <c r="BD16" s="13">
        <v>5667.1450166360974</v>
      </c>
      <c r="BE16" s="13">
        <v>5672.7700184000005</v>
      </c>
      <c r="BF16" s="13">
        <v>5786.9386574999999</v>
      </c>
      <c r="BG16" s="13">
        <v>5866.3385599999992</v>
      </c>
      <c r="BH16" s="13">
        <v>5817.1515599999993</v>
      </c>
      <c r="BI16" s="13">
        <v>5791.2543816999996</v>
      </c>
      <c r="BJ16" s="13">
        <v>5862.1229999999996</v>
      </c>
      <c r="BK16" s="42">
        <v>5884.53</v>
      </c>
      <c r="BL16" s="42">
        <v>5990.3950000000004</v>
      </c>
      <c r="BM16" s="42">
        <v>6022.4920000000002</v>
      </c>
      <c r="BN16" s="42">
        <v>6037.9079048008161</v>
      </c>
      <c r="BO16" s="42">
        <v>6100.2219999999998</v>
      </c>
      <c r="BP16" s="42">
        <v>6049.4620000000004</v>
      </c>
      <c r="BQ16" s="42">
        <v>5060.6009999999997</v>
      </c>
      <c r="BR16" s="42">
        <v>5599.6970000000001</v>
      </c>
      <c r="BS16" s="42">
        <v>5926.6620000000003</v>
      </c>
      <c r="BT16" s="42">
        <v>6006.85</v>
      </c>
      <c r="BU16" s="42">
        <v>5911.1959999999999</v>
      </c>
      <c r="BV16" s="42">
        <v>6180.6210000000001</v>
      </c>
      <c r="BW16" s="42">
        <v>6324.085</v>
      </c>
      <c r="BX16" s="42">
        <v>6330.5190000000002</v>
      </c>
      <c r="BY16" s="42">
        <v>6484.3490000000002</v>
      </c>
      <c r="BZ16" s="42">
        <v>6544.2520000000004</v>
      </c>
      <c r="CA16" s="42">
        <v>6649.2</v>
      </c>
      <c r="CB16" s="42">
        <v>6700.5929999999998</v>
      </c>
      <c r="CC16" s="42">
        <v>6679.1629999999996</v>
      </c>
      <c r="CD16" s="42">
        <v>6776.8339999999998</v>
      </c>
      <c r="CE16" s="42">
        <v>6828.5720000000001</v>
      </c>
      <c r="CF16" s="42">
        <v>6664.2659999999996</v>
      </c>
      <c r="CG16" s="42">
        <v>6738.067</v>
      </c>
      <c r="CH16" s="42">
        <v>6760.2889999999998</v>
      </c>
      <c r="CI16" s="42">
        <v>6873.643</v>
      </c>
      <c r="CJ16" s="42">
        <v>6761.2139999999999</v>
      </c>
    </row>
    <row r="17" spans="1:88" ht="20.149999999999999" customHeight="1" x14ac:dyDescent="0.25">
      <c r="A17" s="12" t="s">
        <v>12</v>
      </c>
      <c r="B17" s="42">
        <v>1941.5941559974269</v>
      </c>
      <c r="C17" s="42">
        <v>1898.5898866020759</v>
      </c>
      <c r="D17" s="42">
        <v>1971.5621587310325</v>
      </c>
      <c r="E17" s="42">
        <v>2015.4842919298164</v>
      </c>
      <c r="F17" s="42">
        <v>1999.8760959153526</v>
      </c>
      <c r="G17" s="42">
        <v>2012.8341640035135</v>
      </c>
      <c r="H17" s="42">
        <v>1972.6134106499587</v>
      </c>
      <c r="I17" s="42">
        <v>2041.9458494891996</v>
      </c>
      <c r="J17" s="42">
        <v>2038.1679407834254</v>
      </c>
      <c r="K17" s="42">
        <v>2082.7255477606245</v>
      </c>
      <c r="L17" s="13">
        <v>2044.8945035809045</v>
      </c>
      <c r="M17" s="13">
        <v>2120.5199508823225</v>
      </c>
      <c r="N17" s="13">
        <v>2127.5037652439969</v>
      </c>
      <c r="O17" s="13">
        <v>2079.816752881643</v>
      </c>
      <c r="P17" s="13">
        <v>2105.5269523239376</v>
      </c>
      <c r="Q17" s="13">
        <v>2175.2056411416006</v>
      </c>
      <c r="R17" s="48">
        <f t="shared" si="5"/>
        <v>2145.2712429326793</v>
      </c>
      <c r="S17" s="7">
        <v>2115.3368447237581</v>
      </c>
      <c r="T17" s="13">
        <v>2172.8560228473343</v>
      </c>
      <c r="U17" s="13">
        <v>2236.1022456474871</v>
      </c>
      <c r="V17" s="13">
        <v>2209.7085052271441</v>
      </c>
      <c r="W17" s="13">
        <v>2313.4937661121571</v>
      </c>
      <c r="X17" s="13">
        <v>2273.8158785447922</v>
      </c>
      <c r="Y17" s="13">
        <v>2320.0845150886043</v>
      </c>
      <c r="Z17" s="13">
        <v>2313.1569282287296</v>
      </c>
      <c r="AA17" s="13">
        <v>2340.6944876779539</v>
      </c>
      <c r="AB17" s="13">
        <v>2283.9061999114415</v>
      </c>
      <c r="AC17" s="13">
        <v>2317.9426878042045</v>
      </c>
      <c r="AD17" s="13">
        <v>2333.4249191918066</v>
      </c>
      <c r="AE17" s="13">
        <v>2321.4492219002723</v>
      </c>
      <c r="AF17" s="13">
        <v>2373.5264834292611</v>
      </c>
      <c r="AG17" s="13">
        <v>2428.5112334475348</v>
      </c>
      <c r="AH17" s="13">
        <v>2474.6527289505025</v>
      </c>
      <c r="AI17" s="13">
        <v>2418.0708246527265</v>
      </c>
      <c r="AJ17" s="13">
        <v>2435.4460165212163</v>
      </c>
      <c r="AK17" s="13">
        <v>2445.7061786838331</v>
      </c>
      <c r="AL17" s="13">
        <v>2482.0388737204667</v>
      </c>
      <c r="AM17" s="13">
        <v>2460.3305443503327</v>
      </c>
      <c r="AN17" s="13">
        <v>2424.9169286702963</v>
      </c>
      <c r="AO17" s="13">
        <v>2438.8395217911825</v>
      </c>
      <c r="AP17" s="13">
        <v>2514.2434596008188</v>
      </c>
      <c r="AQ17" s="13">
        <v>2495.0673774838519</v>
      </c>
      <c r="AR17" s="13">
        <v>2518.7828522294185</v>
      </c>
      <c r="AS17" s="13">
        <v>2427.0565658213095</v>
      </c>
      <c r="AT17" s="13">
        <v>2464.8364437533314</v>
      </c>
      <c r="AU17" s="13">
        <v>2468.1556222643517</v>
      </c>
      <c r="AV17" s="13">
        <v>2481.3768711448715</v>
      </c>
      <c r="AW17" s="13">
        <v>2530.1511474079612</v>
      </c>
      <c r="AX17" s="51">
        <f t="shared" si="6"/>
        <v>2568.7963658447534</v>
      </c>
      <c r="AY17" s="51">
        <f t="shared" si="7"/>
        <v>2588.1189750631497</v>
      </c>
      <c r="AZ17" s="51">
        <f t="shared" si="2"/>
        <v>2597.7802796723481</v>
      </c>
      <c r="BA17" s="31">
        <v>2607.4415842815461</v>
      </c>
      <c r="BB17" s="13">
        <v>2659.5614703398519</v>
      </c>
      <c r="BC17" s="13">
        <v>2631.9080145876756</v>
      </c>
      <c r="BD17" s="13">
        <v>2618.2831822744001</v>
      </c>
      <c r="BE17" s="13">
        <v>2633.9843678000007</v>
      </c>
      <c r="BF17" s="13">
        <v>2704.3104269999999</v>
      </c>
      <c r="BG17" s="13">
        <v>2764.8547999999996</v>
      </c>
      <c r="BH17" s="13">
        <v>2707.2605599999997</v>
      </c>
      <c r="BI17" s="13">
        <v>2769.7992052999998</v>
      </c>
      <c r="BJ17" s="13">
        <v>2805.5430000000001</v>
      </c>
      <c r="BK17" s="42">
        <v>2745.5</v>
      </c>
      <c r="BL17" s="42">
        <v>2821.9319999999998</v>
      </c>
      <c r="BM17" s="42">
        <v>2872.9789999999998</v>
      </c>
      <c r="BN17" s="42">
        <v>2880.6410047507111</v>
      </c>
      <c r="BO17" s="42">
        <v>2910.2620000000002</v>
      </c>
      <c r="BP17" s="42">
        <v>2816.4920000000002</v>
      </c>
      <c r="BQ17" s="42">
        <v>2345.7460000000001</v>
      </c>
      <c r="BR17" s="42">
        <v>2506.5419999999999</v>
      </c>
      <c r="BS17" s="42">
        <v>2653.93</v>
      </c>
      <c r="BT17" s="42">
        <v>2835.4070000000002</v>
      </c>
      <c r="BU17" s="42">
        <v>2929.453</v>
      </c>
      <c r="BV17" s="42">
        <v>3072.2829999999999</v>
      </c>
      <c r="BW17" s="42">
        <v>3135.0459999999998</v>
      </c>
      <c r="BX17" s="42">
        <v>2987.4569999999999</v>
      </c>
      <c r="BY17" s="42">
        <v>3125.6779999999999</v>
      </c>
      <c r="BZ17" s="42">
        <v>3146.7539999999999</v>
      </c>
      <c r="CA17" s="42">
        <v>3134.982</v>
      </c>
      <c r="CB17" s="42">
        <v>3191.6959999999999</v>
      </c>
      <c r="CC17" s="42">
        <v>3241.9459999999999</v>
      </c>
      <c r="CD17" s="42">
        <v>3225.944</v>
      </c>
      <c r="CE17" s="42">
        <v>3243.424</v>
      </c>
      <c r="CF17" s="42">
        <v>3148.5540000000001</v>
      </c>
      <c r="CG17" s="42">
        <v>3260.4349999999999</v>
      </c>
      <c r="CH17" s="42">
        <v>3290.4389999999999</v>
      </c>
      <c r="CI17" s="42">
        <v>3274.049</v>
      </c>
      <c r="CJ17" s="42">
        <v>3153.165</v>
      </c>
    </row>
    <row r="18" spans="1:88" ht="20.149999999999999" customHeight="1" x14ac:dyDescent="0.25">
      <c r="A18" s="12" t="s">
        <v>13</v>
      </c>
      <c r="B18" s="42">
        <v>2005.7114579157681</v>
      </c>
      <c r="C18" s="42">
        <v>2019.4728592210608</v>
      </c>
      <c r="D18" s="42">
        <v>2056.1614708069114</v>
      </c>
      <c r="E18" s="42">
        <v>2035.8675943888627</v>
      </c>
      <c r="F18" s="42">
        <v>2099.9026284366264</v>
      </c>
      <c r="G18" s="42">
        <v>2168.2990975654998</v>
      </c>
      <c r="H18" s="42">
        <v>2135.7308735580168</v>
      </c>
      <c r="I18" s="42">
        <v>2184.2726661858683</v>
      </c>
      <c r="J18" s="42">
        <v>2208.2892160738679</v>
      </c>
      <c r="K18" s="42">
        <v>2252.3648308075012</v>
      </c>
      <c r="L18" s="13">
        <v>2244.2994293015968</v>
      </c>
      <c r="M18" s="13">
        <v>2298.6965750253971</v>
      </c>
      <c r="N18" s="13">
        <v>2242.6739612770966</v>
      </c>
      <c r="O18" s="13">
        <v>2421.7013763041618</v>
      </c>
      <c r="P18" s="13">
        <v>2380.3983321954597</v>
      </c>
      <c r="Q18" s="13">
        <v>2314.9874898986263</v>
      </c>
      <c r="R18" s="48">
        <f t="shared" si="5"/>
        <v>2417.5176516526062</v>
      </c>
      <c r="S18" s="7">
        <v>2520.0478134065866</v>
      </c>
      <c r="T18" s="13">
        <v>2435.6911341127998</v>
      </c>
      <c r="U18" s="13">
        <v>2337.6381860277297</v>
      </c>
      <c r="V18" s="13">
        <v>2355.8611687860916</v>
      </c>
      <c r="W18" s="13">
        <v>2464.4125776645551</v>
      </c>
      <c r="X18" s="13">
        <v>2451.5964586202836</v>
      </c>
      <c r="Y18" s="13">
        <v>2365.8718837180954</v>
      </c>
      <c r="Z18" s="13">
        <v>2335.7029803158448</v>
      </c>
      <c r="AA18" s="13">
        <v>2391.5195396924473</v>
      </c>
      <c r="AB18" s="13">
        <v>2434.5687253099682</v>
      </c>
      <c r="AC18" s="13">
        <v>2426.2516759548571</v>
      </c>
      <c r="AD18" s="13">
        <v>2398.2841239877321</v>
      </c>
      <c r="AE18" s="13">
        <v>2405.4739166370391</v>
      </c>
      <c r="AF18" s="13">
        <v>2315.4603496877712</v>
      </c>
      <c r="AG18" s="13">
        <v>2402.2772746659107</v>
      </c>
      <c r="AH18" s="13">
        <v>2360.6982242056156</v>
      </c>
      <c r="AI18" s="13">
        <v>2371.469171629044</v>
      </c>
      <c r="AJ18" s="13">
        <v>2248.9280130056977</v>
      </c>
      <c r="AK18" s="13">
        <v>2366.6915985715823</v>
      </c>
      <c r="AL18" s="13">
        <v>2481.7429329412994</v>
      </c>
      <c r="AM18" s="13">
        <v>2355.6806574341604</v>
      </c>
      <c r="AN18" s="13">
        <v>2350.7846006904888</v>
      </c>
      <c r="AO18" s="13">
        <v>2395.1500866637684</v>
      </c>
      <c r="AP18" s="13">
        <v>2370.1491030360153</v>
      </c>
      <c r="AQ18" s="13">
        <v>2416.6948178010671</v>
      </c>
      <c r="AR18" s="13">
        <v>2285.1043775479629</v>
      </c>
      <c r="AS18" s="13">
        <v>2324.3134247359562</v>
      </c>
      <c r="AT18" s="13">
        <v>2245.5449309373867</v>
      </c>
      <c r="AU18" s="13">
        <v>2450.9797025807279</v>
      </c>
      <c r="AV18" s="13">
        <v>2320.1167046710125</v>
      </c>
      <c r="AW18" s="13">
        <v>2285.4520085176687</v>
      </c>
      <c r="AX18" s="51">
        <f t="shared" si="6"/>
        <v>2368.754587381346</v>
      </c>
      <c r="AY18" s="51">
        <f t="shared" si="7"/>
        <v>2410.4058768131849</v>
      </c>
      <c r="AZ18" s="51">
        <f t="shared" si="2"/>
        <v>2431.2315215291046</v>
      </c>
      <c r="BA18" s="31">
        <v>2452.0571662450238</v>
      </c>
      <c r="BB18" s="13">
        <v>2473.3159974753271</v>
      </c>
      <c r="BC18" s="13">
        <v>2470.5670262892531</v>
      </c>
      <c r="BD18" s="13">
        <v>2505.5717186559727</v>
      </c>
      <c r="BE18" s="13">
        <v>2477.6922850000001</v>
      </c>
      <c r="BF18" s="13">
        <v>2542.3944273000002</v>
      </c>
      <c r="BG18" s="13">
        <v>2623.5265099999997</v>
      </c>
      <c r="BH18" s="13">
        <v>2557.25738</v>
      </c>
      <c r="BI18" s="13">
        <v>2452.2684671000002</v>
      </c>
      <c r="BJ18" s="13">
        <v>2416.2159999999999</v>
      </c>
      <c r="BK18" s="42">
        <v>2437.8240000000001</v>
      </c>
      <c r="BL18" s="42">
        <v>2405.4470000000001</v>
      </c>
      <c r="BM18" s="42">
        <v>2437.915</v>
      </c>
      <c r="BN18" s="42">
        <v>2490.6944432569449</v>
      </c>
      <c r="BO18" s="42">
        <v>2528.4520000000002</v>
      </c>
      <c r="BP18" s="42">
        <v>2435.3000000000002</v>
      </c>
      <c r="BQ18" s="42">
        <v>1642.049</v>
      </c>
      <c r="BR18" s="42">
        <v>2017.6110000000001</v>
      </c>
      <c r="BS18" s="42">
        <v>2173.9470000000001</v>
      </c>
      <c r="BT18" s="42">
        <v>2489.2979999999998</v>
      </c>
      <c r="BU18" s="42">
        <v>2474.0880000000002</v>
      </c>
      <c r="BV18" s="42">
        <v>2432.6750000000002</v>
      </c>
      <c r="BW18" s="42">
        <v>2445.6930000000002</v>
      </c>
      <c r="BX18" s="42">
        <v>2554.721</v>
      </c>
      <c r="BY18" s="42">
        <v>2628.3490000000002</v>
      </c>
      <c r="BZ18" s="42">
        <v>2497.9630000000002</v>
      </c>
      <c r="CA18" s="42">
        <v>2528.0030000000002</v>
      </c>
      <c r="CB18" s="42">
        <v>2553.962</v>
      </c>
      <c r="CC18" s="42">
        <v>2452.902</v>
      </c>
      <c r="CD18" s="42">
        <v>2586.1030000000001</v>
      </c>
      <c r="CE18" s="42">
        <v>2659.7849999999999</v>
      </c>
      <c r="CF18" s="42">
        <v>2506.6559999999999</v>
      </c>
      <c r="CG18" s="42">
        <v>2529.3510000000001</v>
      </c>
      <c r="CH18" s="42">
        <v>2558.9720000000002</v>
      </c>
      <c r="CI18" s="42">
        <v>2673.6190000000001</v>
      </c>
      <c r="CJ18" s="42">
        <v>2621.2510000000002</v>
      </c>
    </row>
    <row r="19" spans="1:88" ht="20.149999999999999" customHeight="1" x14ac:dyDescent="0.25">
      <c r="A19" s="12" t="s">
        <v>14</v>
      </c>
      <c r="B19" s="42">
        <v>470.49478211865477</v>
      </c>
      <c r="C19" s="42">
        <v>515.01276280924185</v>
      </c>
      <c r="D19" s="42">
        <v>500.49823607847384</v>
      </c>
      <c r="E19" s="42">
        <v>520.75255421317627</v>
      </c>
      <c r="F19" s="42">
        <v>553.63076892243021</v>
      </c>
      <c r="G19" s="42">
        <v>554.63695046948033</v>
      </c>
      <c r="H19" s="42">
        <v>504.16275936954241</v>
      </c>
      <c r="I19" s="42">
        <v>518.68558363500563</v>
      </c>
      <c r="J19" s="42">
        <v>592.26994419397727</v>
      </c>
      <c r="K19" s="42">
        <v>607.77979949133351</v>
      </c>
      <c r="L19" s="13">
        <v>606.02255468672763</v>
      </c>
      <c r="M19" s="13">
        <v>609.61850474522134</v>
      </c>
      <c r="N19" s="13">
        <v>593.07399422327376</v>
      </c>
      <c r="O19" s="13">
        <v>667.871682149869</v>
      </c>
      <c r="P19" s="13">
        <v>636.87096471314294</v>
      </c>
      <c r="Q19" s="13">
        <v>653.79429044827737</v>
      </c>
      <c r="R19" s="48">
        <f t="shared" si="5"/>
        <v>634.92802252768479</v>
      </c>
      <c r="S19" s="7">
        <v>616.0617546070921</v>
      </c>
      <c r="T19" s="13">
        <v>660.46001066268832</v>
      </c>
      <c r="U19" s="13">
        <v>633.20426704085094</v>
      </c>
      <c r="V19" s="13">
        <v>661.84400916419918</v>
      </c>
      <c r="W19" s="13">
        <v>652.34920792719731</v>
      </c>
      <c r="X19" s="13">
        <v>698.86874990484944</v>
      </c>
      <c r="Y19" s="13">
        <v>668.83500423910459</v>
      </c>
      <c r="Z19" s="13">
        <v>630.24783755293572</v>
      </c>
      <c r="AA19" s="13">
        <v>681.79833498908522</v>
      </c>
      <c r="AB19" s="13">
        <v>714.47639642081265</v>
      </c>
      <c r="AC19" s="13">
        <v>716.72845462042255</v>
      </c>
      <c r="AD19" s="13">
        <v>731.96888510153337</v>
      </c>
      <c r="AE19" s="13">
        <v>693.63149031548892</v>
      </c>
      <c r="AF19" s="13">
        <v>678.72267529905423</v>
      </c>
      <c r="AG19" s="13">
        <v>699.0322720215263</v>
      </c>
      <c r="AH19" s="13">
        <v>757.73052593850252</v>
      </c>
      <c r="AI19" s="13">
        <v>664.24698286134333</v>
      </c>
      <c r="AJ19" s="13">
        <v>647.86353087261682</v>
      </c>
      <c r="AK19" s="13">
        <v>696.34439181167454</v>
      </c>
      <c r="AL19" s="13">
        <v>731.04462702119611</v>
      </c>
      <c r="AM19" s="13">
        <v>776.16789666175782</v>
      </c>
      <c r="AN19" s="13">
        <v>691.2951640419368</v>
      </c>
      <c r="AO19" s="13">
        <v>732.72141436340996</v>
      </c>
      <c r="AP19" s="13">
        <v>762.44352796902717</v>
      </c>
      <c r="AQ19" s="13">
        <v>774.42707131841394</v>
      </c>
      <c r="AR19" s="13">
        <v>719.85160225682387</v>
      </c>
      <c r="AS19" s="13">
        <v>703.30205033040647</v>
      </c>
      <c r="AT19" s="13">
        <v>736.69501175461482</v>
      </c>
      <c r="AU19" s="13">
        <v>711.1531806966683</v>
      </c>
      <c r="AV19" s="13">
        <v>684.99967388599339</v>
      </c>
      <c r="AW19" s="13">
        <v>677.90728112145325</v>
      </c>
      <c r="AX19" s="51">
        <f t="shared" si="6"/>
        <v>704.57183342607595</v>
      </c>
      <c r="AY19" s="51">
        <f t="shared" si="7"/>
        <v>717.90410957838731</v>
      </c>
      <c r="AZ19" s="51">
        <f t="shared" si="2"/>
        <v>724.57024765454298</v>
      </c>
      <c r="BA19" s="31">
        <v>731.23638573069877</v>
      </c>
      <c r="BB19" s="13">
        <v>786.66740186972663</v>
      </c>
      <c r="BC19" s="13">
        <v>743.89420699296602</v>
      </c>
      <c r="BD19" s="13">
        <v>669.82228774529767</v>
      </c>
      <c r="BE19" s="13">
        <v>726.60150299999998</v>
      </c>
      <c r="BF19" s="13">
        <v>777.15780870000015</v>
      </c>
      <c r="BG19" s="13">
        <v>756.60816999999997</v>
      </c>
      <c r="BH19" s="13">
        <v>784.71243000000004</v>
      </c>
      <c r="BI19" s="13">
        <v>744.27711190000002</v>
      </c>
      <c r="BJ19" s="13">
        <v>738.14200000000005</v>
      </c>
      <c r="BK19" s="42">
        <v>725.54300000000001</v>
      </c>
      <c r="BL19" s="42">
        <v>729.54300000000001</v>
      </c>
      <c r="BM19" s="42">
        <v>740.00699999999995</v>
      </c>
      <c r="BN19" s="42">
        <v>699.78895429376632</v>
      </c>
      <c r="BO19" s="42">
        <v>701.18299999999999</v>
      </c>
      <c r="BP19" s="42">
        <v>743.94600000000003</v>
      </c>
      <c r="BQ19" s="42">
        <v>497.68400000000003</v>
      </c>
      <c r="BR19" s="42">
        <v>533.99900000000002</v>
      </c>
      <c r="BS19" s="42">
        <v>769.11</v>
      </c>
      <c r="BT19" s="42">
        <v>650.43200000000002</v>
      </c>
      <c r="BU19" s="42">
        <v>666.74300000000005</v>
      </c>
      <c r="BV19" s="42">
        <v>717.95899999999995</v>
      </c>
      <c r="BW19" s="42">
        <v>738.75800000000004</v>
      </c>
      <c r="BX19" s="42">
        <v>711.28</v>
      </c>
      <c r="BY19" s="42">
        <v>754.88900000000001</v>
      </c>
      <c r="BZ19" s="42">
        <v>733.13199999999995</v>
      </c>
      <c r="CA19" s="42">
        <v>748.91700000000003</v>
      </c>
      <c r="CB19" s="42">
        <v>745.11</v>
      </c>
      <c r="CC19" s="42">
        <v>733.62800000000004</v>
      </c>
      <c r="CD19" s="42">
        <v>807.32100000000003</v>
      </c>
      <c r="CE19" s="42">
        <v>786.15599999999995</v>
      </c>
      <c r="CF19" s="42">
        <v>794.452</v>
      </c>
      <c r="CG19" s="42">
        <v>770.048</v>
      </c>
      <c r="CH19" s="42">
        <v>758.34</v>
      </c>
      <c r="CI19" s="42">
        <v>775.173</v>
      </c>
      <c r="CJ19" s="42">
        <v>723.17899999999997</v>
      </c>
    </row>
    <row r="20" spans="1:88" ht="20.149999999999999" customHeight="1" thickBot="1" x14ac:dyDescent="0.3">
      <c r="A20" s="14" t="s">
        <v>15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49"/>
      <c r="S20" s="14"/>
      <c r="T20" s="14"/>
      <c r="U20" s="14"/>
      <c r="V20" s="14"/>
      <c r="W20" s="14"/>
      <c r="X20" s="14"/>
      <c r="Y20" s="15"/>
      <c r="Z20" s="15"/>
      <c r="AA20" s="15"/>
      <c r="AB20" s="15"/>
      <c r="AC20" s="15"/>
      <c r="AD20" s="15"/>
      <c r="AE20" s="15"/>
      <c r="AF20" s="1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7"/>
      <c r="AY20" s="37"/>
      <c r="AZ20" s="37"/>
      <c r="BA20" s="29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20.149999999999999" customHeight="1" x14ac:dyDescent="0.25">
      <c r="A21" s="12" t="s">
        <v>16</v>
      </c>
      <c r="B21" s="42">
        <v>686.73595483436804</v>
      </c>
      <c r="C21" s="42">
        <v>693.19604489020708</v>
      </c>
      <c r="D21" s="42">
        <v>734.40205258482774</v>
      </c>
      <c r="E21" s="42">
        <v>697.76721217299894</v>
      </c>
      <c r="F21" s="42">
        <v>685.35833475071195</v>
      </c>
      <c r="G21" s="42">
        <v>698.65078406823261</v>
      </c>
      <c r="H21" s="42">
        <v>690.57862882178654</v>
      </c>
      <c r="I21" s="42">
        <v>667.60070631703002</v>
      </c>
      <c r="J21" s="42">
        <v>707.94893702617298</v>
      </c>
      <c r="K21" s="42">
        <v>761.08648210167303</v>
      </c>
      <c r="L21" s="13">
        <v>672.71573653456915</v>
      </c>
      <c r="M21" s="13">
        <v>738.23966560953147</v>
      </c>
      <c r="N21" s="13">
        <v>709.9277110980712</v>
      </c>
      <c r="O21" s="13">
        <v>734.23324308506665</v>
      </c>
      <c r="P21" s="13">
        <v>678.81764700233907</v>
      </c>
      <c r="Q21" s="13">
        <v>641.46223548374132</v>
      </c>
      <c r="R21" s="48">
        <f t="shared" si="5"/>
        <v>668.72578429356054</v>
      </c>
      <c r="S21" s="7">
        <v>695.98933310337986</v>
      </c>
      <c r="T21" s="13">
        <v>650.10570328763345</v>
      </c>
      <c r="U21" s="13">
        <v>589.64303604526799</v>
      </c>
      <c r="V21" s="13">
        <v>620.73098418027303</v>
      </c>
      <c r="W21" s="13">
        <v>670.5551025202742</v>
      </c>
      <c r="X21" s="13">
        <v>638.58301548017084</v>
      </c>
      <c r="Y21" s="13">
        <v>605.08331582272524</v>
      </c>
      <c r="Z21" s="13">
        <v>619.19627049546614</v>
      </c>
      <c r="AA21" s="13">
        <v>577.87894608828526</v>
      </c>
      <c r="AB21" s="13">
        <v>527.87976697210081</v>
      </c>
      <c r="AC21" s="13">
        <v>564.09522531545554</v>
      </c>
      <c r="AD21" s="13">
        <v>552.57938557904549</v>
      </c>
      <c r="AE21" s="13">
        <v>536.76515542574475</v>
      </c>
      <c r="AF21" s="13">
        <v>511.1456443504357</v>
      </c>
      <c r="AG21" s="16">
        <v>517.20411726618079</v>
      </c>
      <c r="AH21" s="16">
        <v>546.2605788494983</v>
      </c>
      <c r="AI21" s="16">
        <v>518.75381444672485</v>
      </c>
      <c r="AJ21" s="16">
        <v>521.73834844811006</v>
      </c>
      <c r="AK21" s="16">
        <v>554.84283693714985</v>
      </c>
      <c r="AL21" s="16">
        <v>516.19881435089633</v>
      </c>
      <c r="AM21" s="16">
        <v>511.27704819421137</v>
      </c>
      <c r="AN21" s="16">
        <v>453.61009406128147</v>
      </c>
      <c r="AO21" s="16">
        <v>466.6828370413059</v>
      </c>
      <c r="AP21" s="16">
        <v>510.47578997562977</v>
      </c>
      <c r="AQ21" s="16">
        <v>506.96448298621692</v>
      </c>
      <c r="AR21" s="16">
        <v>497.18474201171392</v>
      </c>
      <c r="AS21" s="16">
        <v>416.02348614536805</v>
      </c>
      <c r="AT21" s="16">
        <v>448.81503994261612</v>
      </c>
      <c r="AU21" s="16">
        <v>489.55276992601</v>
      </c>
      <c r="AV21" s="16">
        <v>466.49832624954286</v>
      </c>
      <c r="AW21" s="16">
        <v>444.14117780021496</v>
      </c>
      <c r="AX21" s="51">
        <f t="shared" ref="AX21:AX24" si="8">+(AW21+BA21)/2</f>
        <v>462.11861423218181</v>
      </c>
      <c r="AY21" s="51">
        <f t="shared" ref="AY21:AY24" si="9">+(AX21+BA21)/2</f>
        <v>471.10733244816527</v>
      </c>
      <c r="AZ21" s="51">
        <f t="shared" si="2"/>
        <v>475.60169155615699</v>
      </c>
      <c r="BA21" s="32">
        <v>480.09605066414872</v>
      </c>
      <c r="BB21" s="16">
        <v>497.65069649303143</v>
      </c>
      <c r="BC21" s="16">
        <v>461.29447770233855</v>
      </c>
      <c r="BD21" s="16">
        <v>516.94770988845141</v>
      </c>
      <c r="BE21" s="16">
        <v>443.63034019999998</v>
      </c>
      <c r="BF21" s="16">
        <v>459.53388389999998</v>
      </c>
      <c r="BG21" s="16">
        <v>466.24629999999996</v>
      </c>
      <c r="BH21" s="16">
        <v>445.89480000000003</v>
      </c>
      <c r="BI21" s="16">
        <v>431.2363891</v>
      </c>
      <c r="BJ21" s="16">
        <v>436.96100000000001</v>
      </c>
      <c r="BK21" s="45">
        <v>452.10199999999998</v>
      </c>
      <c r="BL21" s="45">
        <v>455.97300000000001</v>
      </c>
      <c r="BM21" s="45">
        <v>463.66300000000001</v>
      </c>
      <c r="BN21" s="45">
        <v>481.33327901017736</v>
      </c>
      <c r="BO21" s="45">
        <v>420.52199999999999</v>
      </c>
      <c r="BP21" s="45">
        <v>436.15499999999997</v>
      </c>
      <c r="BQ21" s="45">
        <v>269.80399999999997</v>
      </c>
      <c r="BR21" s="45">
        <v>354.75599999999997</v>
      </c>
      <c r="BS21" s="45">
        <v>428.67099999999999</v>
      </c>
      <c r="BT21" s="45">
        <v>324.06599999999997</v>
      </c>
      <c r="BU21" s="45">
        <v>334.334</v>
      </c>
      <c r="BV21" s="45">
        <v>418.08300000000003</v>
      </c>
      <c r="BW21" s="45">
        <v>397.01400000000001</v>
      </c>
      <c r="BX21" s="45">
        <v>422.35899999999998</v>
      </c>
      <c r="BY21" s="45">
        <v>452.47199999999998</v>
      </c>
      <c r="BZ21" s="45">
        <v>461.82400000000001</v>
      </c>
      <c r="CA21" s="45">
        <v>381.52100000000002</v>
      </c>
      <c r="CB21" s="45">
        <v>375.24</v>
      </c>
      <c r="CC21" s="45">
        <v>382.90100000000001</v>
      </c>
      <c r="CD21" s="45">
        <v>413.68900000000002</v>
      </c>
      <c r="CE21" s="45">
        <v>313.786</v>
      </c>
      <c r="CF21" s="45">
        <v>348.07799999999997</v>
      </c>
      <c r="CG21" s="45">
        <v>374.91399999999999</v>
      </c>
      <c r="CH21" s="45">
        <v>372.82799999999997</v>
      </c>
      <c r="CI21" s="45">
        <v>343.899</v>
      </c>
      <c r="CJ21" s="45">
        <v>326.52800000000002</v>
      </c>
    </row>
    <row r="22" spans="1:88" ht="20.149999999999999" customHeight="1" x14ac:dyDescent="0.25">
      <c r="A22" s="12" t="s">
        <v>17</v>
      </c>
      <c r="B22" s="42">
        <v>1986.5234833437371</v>
      </c>
      <c r="C22" s="42">
        <v>2153.6613732391011</v>
      </c>
      <c r="D22" s="42">
        <v>2230.365646594214</v>
      </c>
      <c r="E22" s="42">
        <v>2132.1105403768183</v>
      </c>
      <c r="F22" s="42">
        <v>2215.2479795163467</v>
      </c>
      <c r="G22" s="42">
        <v>2257.136202458064</v>
      </c>
      <c r="H22" s="42">
        <v>2240.5491740650632</v>
      </c>
      <c r="I22" s="42">
        <v>2240.1506939267824</v>
      </c>
      <c r="J22" s="42">
        <v>2201.8228091178498</v>
      </c>
      <c r="K22" s="42">
        <v>2189.1593363223587</v>
      </c>
      <c r="L22" s="13">
        <v>2195.2395197576902</v>
      </c>
      <c r="M22" s="13">
        <v>2208.8497505055439</v>
      </c>
      <c r="N22" s="13">
        <v>2152.77778599044</v>
      </c>
      <c r="O22" s="13">
        <v>2149.2044948556459</v>
      </c>
      <c r="P22" s="13">
        <v>2157.9147725555836</v>
      </c>
      <c r="Q22" s="13">
        <v>2166.2385304146383</v>
      </c>
      <c r="R22" s="48">
        <f t="shared" si="5"/>
        <v>2062.0774039022781</v>
      </c>
      <c r="S22" s="7">
        <v>1957.9162773899179</v>
      </c>
      <c r="T22" s="13">
        <v>2070.5639549500825</v>
      </c>
      <c r="U22" s="13">
        <v>2150.173631422595</v>
      </c>
      <c r="V22" s="13">
        <v>2070.5257008400677</v>
      </c>
      <c r="W22" s="13">
        <v>2001.0303524106412</v>
      </c>
      <c r="X22" s="13">
        <v>2126.5491313302905</v>
      </c>
      <c r="Y22" s="13">
        <v>2015.270704340006</v>
      </c>
      <c r="Z22" s="13">
        <v>1947.1111883821823</v>
      </c>
      <c r="AA22" s="13">
        <v>2058.2851951910689</v>
      </c>
      <c r="AB22" s="13">
        <v>2056.9074369418418</v>
      </c>
      <c r="AC22" s="13">
        <v>2005.2112228715444</v>
      </c>
      <c r="AD22" s="13">
        <v>1991.2618464963293</v>
      </c>
      <c r="AE22" s="13">
        <v>2043.1821976694828</v>
      </c>
      <c r="AF22" s="13">
        <v>2038.6844125615521</v>
      </c>
      <c r="AG22" s="16">
        <v>2000.941175678033</v>
      </c>
      <c r="AH22" s="16">
        <v>2072.4910951730171</v>
      </c>
      <c r="AI22" s="16">
        <v>2011.0606154073096</v>
      </c>
      <c r="AJ22" s="16">
        <v>2029.4939794101954</v>
      </c>
      <c r="AK22" s="16">
        <v>2073.5636082774772</v>
      </c>
      <c r="AL22" s="16">
        <v>1999.0727702690315</v>
      </c>
      <c r="AM22" s="16">
        <v>1972.4151781304799</v>
      </c>
      <c r="AN22" s="16">
        <v>1913.9525550897702</v>
      </c>
      <c r="AO22" s="16">
        <v>1906.232954598956</v>
      </c>
      <c r="AP22" s="16">
        <v>1953.0232135909398</v>
      </c>
      <c r="AQ22" s="16">
        <v>1889.0790412088688</v>
      </c>
      <c r="AR22" s="16">
        <v>1851.7981068102706</v>
      </c>
      <c r="AS22" s="16">
        <v>1905.9472643690035</v>
      </c>
      <c r="AT22" s="16">
        <v>1868.0163637515996</v>
      </c>
      <c r="AU22" s="16">
        <v>1949.8474584050343</v>
      </c>
      <c r="AV22" s="16">
        <v>1891.9516666631973</v>
      </c>
      <c r="AW22" s="16">
        <v>1914.0031513766446</v>
      </c>
      <c r="AX22" s="51">
        <f t="shared" si="8"/>
        <v>1899.0616666050096</v>
      </c>
      <c r="AY22" s="51">
        <f t="shared" si="9"/>
        <v>1891.5909242191922</v>
      </c>
      <c r="AZ22" s="51">
        <f t="shared" si="2"/>
        <v>1887.8555530262834</v>
      </c>
      <c r="BA22" s="32">
        <v>1884.1201818333748</v>
      </c>
      <c r="BB22" s="16">
        <v>1849.2395930526548</v>
      </c>
      <c r="BC22" s="16">
        <v>1792.8919666751599</v>
      </c>
      <c r="BD22" s="16">
        <v>1656.4505002793696</v>
      </c>
      <c r="BE22" s="16">
        <v>1781.7927804000003</v>
      </c>
      <c r="BF22" s="16">
        <v>1796.2285068000001</v>
      </c>
      <c r="BG22" s="16">
        <v>1762.1621499999997</v>
      </c>
      <c r="BH22" s="16">
        <v>1693.8740299999999</v>
      </c>
      <c r="BI22" s="16">
        <v>1636.9024744000001</v>
      </c>
      <c r="BJ22" s="16">
        <v>1615.5730000000001</v>
      </c>
      <c r="BK22" s="45">
        <v>1599.146</v>
      </c>
      <c r="BL22" s="45">
        <v>1672.8219999999999</v>
      </c>
      <c r="BM22" s="45">
        <v>1638.3779999999999</v>
      </c>
      <c r="BN22" s="45">
        <v>1568.5066546972357</v>
      </c>
      <c r="BO22" s="45">
        <v>1598.5440000000001</v>
      </c>
      <c r="BP22" s="45">
        <v>1688.5930000000001</v>
      </c>
      <c r="BQ22" s="45">
        <v>1180.6300000000001</v>
      </c>
      <c r="BR22" s="45">
        <v>1311.873</v>
      </c>
      <c r="BS22" s="45">
        <v>1553.895</v>
      </c>
      <c r="BT22" s="45">
        <v>1411.808</v>
      </c>
      <c r="BU22" s="45">
        <v>1426.615</v>
      </c>
      <c r="BV22" s="45">
        <v>1370.194</v>
      </c>
      <c r="BW22" s="45">
        <v>1476.4749999999999</v>
      </c>
      <c r="BX22" s="45">
        <v>1403.02</v>
      </c>
      <c r="BY22" s="45">
        <v>1460.8420000000001</v>
      </c>
      <c r="BZ22" s="45">
        <v>1489.7180000000001</v>
      </c>
      <c r="CA22" s="45">
        <v>1456.7750000000001</v>
      </c>
      <c r="CB22" s="45">
        <v>1505.258</v>
      </c>
      <c r="CC22" s="45">
        <v>1477.2149999999999</v>
      </c>
      <c r="CD22" s="45">
        <v>1445.559</v>
      </c>
      <c r="CE22" s="45">
        <v>1487.4</v>
      </c>
      <c r="CF22" s="45">
        <v>1335.5540000000001</v>
      </c>
      <c r="CG22" s="45">
        <v>1446.655</v>
      </c>
      <c r="CH22" s="45">
        <v>1357.347</v>
      </c>
      <c r="CI22" s="45">
        <v>1381.135</v>
      </c>
      <c r="CJ22" s="45">
        <v>1374.71</v>
      </c>
    </row>
    <row r="23" spans="1:88" ht="20.149999999999999" customHeight="1" x14ac:dyDescent="0.25">
      <c r="A23" s="12" t="s">
        <v>18</v>
      </c>
      <c r="B23" s="42">
        <v>1728.5250863966537</v>
      </c>
      <c r="C23" s="42">
        <v>1702.3237508088389</v>
      </c>
      <c r="D23" s="42">
        <v>1622.4330646483847</v>
      </c>
      <c r="E23" s="42">
        <v>1666.3365030949342</v>
      </c>
      <c r="F23" s="42">
        <v>1697.4831273492612</v>
      </c>
      <c r="G23" s="42">
        <v>1680.4512157435363</v>
      </c>
      <c r="H23" s="42">
        <v>1704.527407466386</v>
      </c>
      <c r="I23" s="42">
        <v>1588.2199414270153</v>
      </c>
      <c r="J23" s="42">
        <v>1716.3834668217821</v>
      </c>
      <c r="K23" s="42">
        <v>1720.7867658251428</v>
      </c>
      <c r="L23" s="13">
        <v>1708.7219254318791</v>
      </c>
      <c r="M23" s="13">
        <v>1723.4858349627052</v>
      </c>
      <c r="N23" s="13">
        <v>1727.3731764234224</v>
      </c>
      <c r="O23" s="13">
        <v>1788.5326679585901</v>
      </c>
      <c r="P23" s="13">
        <v>1807.0919305875268</v>
      </c>
      <c r="Q23" s="13">
        <v>1817.5142957866381</v>
      </c>
      <c r="R23" s="48">
        <f t="shared" si="5"/>
        <v>1821.8956479581839</v>
      </c>
      <c r="S23" s="7">
        <v>1826.2770001297299</v>
      </c>
      <c r="T23" s="13">
        <v>1763.6065171120094</v>
      </c>
      <c r="U23" s="13">
        <v>1775.2678712757811</v>
      </c>
      <c r="V23" s="13">
        <v>1754.7900643398839</v>
      </c>
      <c r="W23" s="13">
        <v>1845.1423163146887</v>
      </c>
      <c r="X23" s="13">
        <v>1814.8860818054525</v>
      </c>
      <c r="Y23" s="13">
        <v>1788.3386120482705</v>
      </c>
      <c r="Z23" s="13">
        <v>1777.4980418923783</v>
      </c>
      <c r="AA23" s="13">
        <v>1809.0143909467622</v>
      </c>
      <c r="AB23" s="13">
        <v>1766.3701712593372</v>
      </c>
      <c r="AC23" s="13">
        <v>1845.500129744715</v>
      </c>
      <c r="AD23" s="13">
        <v>1835.360765081025</v>
      </c>
      <c r="AE23" s="13">
        <v>1771.8523264832211</v>
      </c>
      <c r="AF23" s="13">
        <v>1831.3515410798057</v>
      </c>
      <c r="AG23" s="16">
        <v>1955.7012325328894</v>
      </c>
      <c r="AH23" s="16">
        <v>1946.2283377626359</v>
      </c>
      <c r="AI23" s="16">
        <v>1893.2911820866702</v>
      </c>
      <c r="AJ23" s="16">
        <v>1783.6808697178071</v>
      </c>
      <c r="AK23" s="16">
        <v>1828.9686215994141</v>
      </c>
      <c r="AL23" s="16">
        <v>1931.8099524817983</v>
      </c>
      <c r="AM23" s="16">
        <v>1889.7602577181415</v>
      </c>
      <c r="AN23" s="16">
        <v>1788.0466090451428</v>
      </c>
      <c r="AO23" s="16">
        <v>1929.6210180994303</v>
      </c>
      <c r="AP23" s="16">
        <v>1916.2593624632327</v>
      </c>
      <c r="AQ23" s="16">
        <v>1990.9141239519051</v>
      </c>
      <c r="AR23" s="16">
        <v>1952.90502384671</v>
      </c>
      <c r="AS23" s="16">
        <v>1922.000441976342</v>
      </c>
      <c r="AT23" s="16">
        <v>1956.4507026537735</v>
      </c>
      <c r="AU23" s="16">
        <v>1922.9959375515273</v>
      </c>
      <c r="AV23" s="16">
        <v>1800.6215192681657</v>
      </c>
      <c r="AW23" s="16">
        <v>1958.9518554457327</v>
      </c>
      <c r="AX23" s="51">
        <f t="shared" si="8"/>
        <v>1921.7935439841463</v>
      </c>
      <c r="AY23" s="51">
        <f t="shared" si="9"/>
        <v>1903.214388253353</v>
      </c>
      <c r="AZ23" s="51">
        <f t="shared" si="2"/>
        <v>1893.9248103879563</v>
      </c>
      <c r="BA23" s="32">
        <v>1884.6352325225598</v>
      </c>
      <c r="BB23" s="16">
        <v>1956.7872586758615</v>
      </c>
      <c r="BC23" s="16">
        <v>1931.2706959946629</v>
      </c>
      <c r="BD23" s="16">
        <v>1941.7938519630134</v>
      </c>
      <c r="BE23" s="16">
        <v>1958.8707384000002</v>
      </c>
      <c r="BF23" s="16">
        <v>1993.3333601999998</v>
      </c>
      <c r="BG23" s="16">
        <v>1999.6040599999999</v>
      </c>
      <c r="BH23" s="16">
        <v>1924.7822499999997</v>
      </c>
      <c r="BI23" s="16">
        <v>1994.9342422000002</v>
      </c>
      <c r="BJ23" s="16">
        <v>2024.5129999999999</v>
      </c>
      <c r="BK23" s="45">
        <v>1901.568</v>
      </c>
      <c r="BL23" s="45">
        <v>1913.673</v>
      </c>
      <c r="BM23" s="45">
        <v>1915.5889999999999</v>
      </c>
      <c r="BN23" s="45">
        <v>1915.5462482113724</v>
      </c>
      <c r="BO23" s="45">
        <v>1945.8789999999999</v>
      </c>
      <c r="BP23" s="45">
        <v>1949.8489999999999</v>
      </c>
      <c r="BQ23" s="45">
        <v>1485.854</v>
      </c>
      <c r="BR23" s="45">
        <v>1752.8679999999999</v>
      </c>
      <c r="BS23" s="45">
        <v>2063.3409999999999</v>
      </c>
      <c r="BT23" s="45">
        <v>2069.8049999999998</v>
      </c>
      <c r="BU23" s="45">
        <v>1953.5139999999999</v>
      </c>
      <c r="BV23" s="45">
        <v>1924.232</v>
      </c>
      <c r="BW23" s="45">
        <v>2056.0909999999999</v>
      </c>
      <c r="BX23" s="45">
        <v>2135.2139999999999</v>
      </c>
      <c r="BY23" s="45">
        <v>2153.4850000000001</v>
      </c>
      <c r="BZ23" s="45">
        <v>2235.9540000000002</v>
      </c>
      <c r="CA23" s="45">
        <v>2267.6689999999999</v>
      </c>
      <c r="CB23" s="45">
        <v>2242.1880000000001</v>
      </c>
      <c r="CC23" s="45">
        <v>2165</v>
      </c>
      <c r="CD23" s="45">
        <v>2115.3890000000001</v>
      </c>
      <c r="CE23" s="45">
        <v>2240.6260000000002</v>
      </c>
      <c r="CF23" s="45">
        <v>2097.8670000000002</v>
      </c>
      <c r="CG23" s="45">
        <v>2205.9859999999999</v>
      </c>
      <c r="CH23" s="45">
        <v>2062.1460000000002</v>
      </c>
      <c r="CI23" s="45">
        <v>2049.19</v>
      </c>
      <c r="CJ23" s="45">
        <v>2120.4850000000001</v>
      </c>
    </row>
    <row r="24" spans="1:88" ht="20.149999999999999" customHeight="1" x14ac:dyDescent="0.25">
      <c r="A24" s="12" t="s">
        <v>19</v>
      </c>
      <c r="B24" s="42">
        <v>1791.9651178996091</v>
      </c>
      <c r="C24" s="42">
        <v>1857.6346720658119</v>
      </c>
      <c r="D24" s="42">
        <v>1891.6725787281582</v>
      </c>
      <c r="E24" s="42">
        <v>1931.6696426364986</v>
      </c>
      <c r="F24" s="42">
        <v>1988.2735564680897</v>
      </c>
      <c r="G24" s="42">
        <v>2033.1412166876232</v>
      </c>
      <c r="H24" s="42">
        <v>1975.9186855562539</v>
      </c>
      <c r="I24" s="42">
        <v>2078.7371972855622</v>
      </c>
      <c r="J24" s="42">
        <v>2123.1468286567629</v>
      </c>
      <c r="K24" s="42">
        <v>2063.7887838711981</v>
      </c>
      <c r="L24" s="13">
        <v>2147.2606398540138</v>
      </c>
      <c r="M24" s="13">
        <v>2198.336152961791</v>
      </c>
      <c r="N24" s="13">
        <v>2207.994643830757</v>
      </c>
      <c r="O24" s="13">
        <v>2263.0898420443054</v>
      </c>
      <c r="P24" s="13">
        <v>2263.0496148765724</v>
      </c>
      <c r="Q24" s="13">
        <v>2359.2794288957812</v>
      </c>
      <c r="R24" s="48">
        <f t="shared" si="5"/>
        <v>2408.3137144393536</v>
      </c>
      <c r="S24" s="7">
        <v>2457.347999982926</v>
      </c>
      <c r="T24" s="13">
        <v>2375.5819275448143</v>
      </c>
      <c r="U24" s="13">
        <v>2493.1165540514426</v>
      </c>
      <c r="V24" s="13">
        <v>2568.407329036615</v>
      </c>
      <c r="W24" s="13">
        <v>2537.0946146000683</v>
      </c>
      <c r="X24" s="13">
        <v>2463.9497673810965</v>
      </c>
      <c r="Y24" s="13">
        <v>2531.2078022330347</v>
      </c>
      <c r="Z24" s="13">
        <v>2577.3763353731115</v>
      </c>
      <c r="AA24" s="13">
        <v>2586.4110639775445</v>
      </c>
      <c r="AB24" s="13">
        <v>2567.493878059895</v>
      </c>
      <c r="AC24" s="13">
        <v>2524.1956642209038</v>
      </c>
      <c r="AD24" s="13">
        <v>2654.5333897792916</v>
      </c>
      <c r="AE24" s="13">
        <v>2663.3117559700872</v>
      </c>
      <c r="AF24" s="13">
        <v>2641.6208865633366</v>
      </c>
      <c r="AG24" s="16">
        <v>2728.235340296646</v>
      </c>
      <c r="AH24" s="16">
        <v>2686.4881254097249</v>
      </c>
      <c r="AI24" s="16">
        <v>2758.6276020991786</v>
      </c>
      <c r="AJ24" s="16">
        <v>2798.6138953774553</v>
      </c>
      <c r="AK24" s="16">
        <v>2819.774604808772</v>
      </c>
      <c r="AL24" s="16">
        <v>2955.3118890820288</v>
      </c>
      <c r="AM24" s="16">
        <v>2907.0819625986392</v>
      </c>
      <c r="AN24" s="16">
        <v>2837.7859272281571</v>
      </c>
      <c r="AO24" s="16">
        <v>3061.6237249891665</v>
      </c>
      <c r="AP24" s="16">
        <v>2916.9748786021069</v>
      </c>
      <c r="AQ24" s="16">
        <v>2984.6862796751357</v>
      </c>
      <c r="AR24" s="16">
        <v>2930.7303271342303</v>
      </c>
      <c r="AS24" s="16">
        <v>2952.3444208659425</v>
      </c>
      <c r="AT24" s="16">
        <v>2821.8128184814414</v>
      </c>
      <c r="AU24" s="16">
        <v>2918.085598578512</v>
      </c>
      <c r="AV24" s="16">
        <v>2961.6933138036679</v>
      </c>
      <c r="AW24" s="16">
        <v>2976.0756145522992</v>
      </c>
      <c r="AX24" s="51">
        <f t="shared" si="8"/>
        <v>3040.7213527877429</v>
      </c>
      <c r="AY24" s="51">
        <f t="shared" si="9"/>
        <v>3073.0442219054648</v>
      </c>
      <c r="AZ24" s="51">
        <f t="shared" si="2"/>
        <v>3089.2056564643253</v>
      </c>
      <c r="BA24" s="32">
        <v>3105.3670910231863</v>
      </c>
      <c r="BB24" s="16">
        <v>3144.1083464187309</v>
      </c>
      <c r="BC24" s="16">
        <v>3234.8975425735507</v>
      </c>
      <c r="BD24" s="16">
        <v>3166.4010866182698</v>
      </c>
      <c r="BE24" s="16">
        <v>3182.6744978000002</v>
      </c>
      <c r="BF24" s="16">
        <v>3244.2442305000004</v>
      </c>
      <c r="BG24" s="16">
        <v>3270.1769899999995</v>
      </c>
      <c r="BH24" s="16">
        <v>3340.3416899999997</v>
      </c>
      <c r="BI24" s="16">
        <v>3297.8385489999996</v>
      </c>
      <c r="BJ24" s="16">
        <v>3337.3470000000002</v>
      </c>
      <c r="BK24" s="45">
        <v>3273.3530000000001</v>
      </c>
      <c r="BL24" s="45">
        <v>3329.9560000000001</v>
      </c>
      <c r="BM24" s="45">
        <v>3344.75</v>
      </c>
      <c r="BN24" s="45">
        <v>3312.8177233540023</v>
      </c>
      <c r="BO24" s="45">
        <v>3407.087</v>
      </c>
      <c r="BP24" s="45">
        <v>3294.3530000000001</v>
      </c>
      <c r="BQ24" s="45">
        <v>2628.9589999999998</v>
      </c>
      <c r="BR24" s="45">
        <v>2784.5839999999998</v>
      </c>
      <c r="BS24" s="45">
        <v>2950.8150000000001</v>
      </c>
      <c r="BT24" s="45">
        <v>3169.3879999999999</v>
      </c>
      <c r="BU24" s="45">
        <v>3168.5549999999998</v>
      </c>
      <c r="BV24" s="45">
        <v>3387.24</v>
      </c>
      <c r="BW24" s="45">
        <v>3525.0039999999999</v>
      </c>
      <c r="BX24" s="45">
        <v>3544.1379999999999</v>
      </c>
      <c r="BY24" s="45">
        <v>3741.393</v>
      </c>
      <c r="BZ24" s="45">
        <v>3595.098</v>
      </c>
      <c r="CA24" s="45">
        <v>3766.73</v>
      </c>
      <c r="CB24" s="45">
        <v>4072.8580000000002</v>
      </c>
      <c r="CC24" s="45">
        <v>3936.9630000000002</v>
      </c>
      <c r="CD24" s="45">
        <v>3970.6179999999999</v>
      </c>
      <c r="CE24" s="45">
        <v>4008.8220000000001</v>
      </c>
      <c r="CF24" s="45">
        <v>4129.7910000000002</v>
      </c>
      <c r="CG24" s="45">
        <v>3921.7649999999999</v>
      </c>
      <c r="CH24" s="45">
        <v>4026.2750000000001</v>
      </c>
      <c r="CI24" s="45">
        <v>4137.4449999999997</v>
      </c>
      <c r="CJ24" s="45">
        <v>4120.1779999999999</v>
      </c>
    </row>
    <row r="25" spans="1:88" ht="20.149999999999999" customHeight="1" x14ac:dyDescent="0.25">
      <c r="A25" s="12" t="s">
        <v>20</v>
      </c>
      <c r="B25" s="42">
        <v>1169.6622537379822</v>
      </c>
      <c r="C25" s="42">
        <v>1215.0856578214532</v>
      </c>
      <c r="D25" s="42">
        <v>1196.5413354919719</v>
      </c>
      <c r="E25" s="42">
        <v>1281.1407491830182</v>
      </c>
      <c r="F25" s="42">
        <v>1269.2749942074965</v>
      </c>
      <c r="G25" s="42">
        <v>1318.9532258695251</v>
      </c>
      <c r="H25" s="42">
        <v>1210.3683681904779</v>
      </c>
      <c r="I25" s="42">
        <v>1349.287108686472</v>
      </c>
      <c r="J25" s="42">
        <v>1328.8353888681172</v>
      </c>
      <c r="K25" s="42">
        <v>1403.2938754281031</v>
      </c>
      <c r="L25" s="13">
        <v>1335.0398709119688</v>
      </c>
      <c r="M25" s="13">
        <v>1422.3840684354448</v>
      </c>
      <c r="N25" s="13">
        <v>1469.2572152455211</v>
      </c>
      <c r="O25" s="13">
        <v>1396.1789911753228</v>
      </c>
      <c r="P25" s="13">
        <v>1358.107821518887</v>
      </c>
      <c r="Q25" s="13">
        <v>1437.6147233907964</v>
      </c>
      <c r="R25" s="48">
        <f t="shared" si="5"/>
        <v>1428.8650725830171</v>
      </c>
      <c r="S25" s="7">
        <v>1420.1154217752378</v>
      </c>
      <c r="T25" s="13">
        <v>1389.7324512445039</v>
      </c>
      <c r="U25" s="13">
        <v>1402.1467917183461</v>
      </c>
      <c r="V25" s="13">
        <v>1404.3168935705687</v>
      </c>
      <c r="W25" s="13">
        <v>1448.2336521679983</v>
      </c>
      <c r="X25" s="13">
        <v>1390.4667766438358</v>
      </c>
      <c r="Y25" s="13">
        <v>1453.3078680511053</v>
      </c>
      <c r="Z25" s="13">
        <v>1478.996783701567</v>
      </c>
      <c r="AA25" s="13">
        <v>1478.4854579113298</v>
      </c>
      <c r="AB25" s="13">
        <v>1464.8011499245868</v>
      </c>
      <c r="AC25" s="13">
        <v>1516.4954004815472</v>
      </c>
      <c r="AD25" s="13">
        <v>1494.9012614525448</v>
      </c>
      <c r="AE25" s="13">
        <v>1502.0198664079405</v>
      </c>
      <c r="AF25" s="13">
        <v>1550.6005313609778</v>
      </c>
      <c r="AG25" s="16">
        <v>1517.0390534542437</v>
      </c>
      <c r="AH25" s="16">
        <v>1513.2991519509389</v>
      </c>
      <c r="AI25" s="16">
        <v>1536.5933538076306</v>
      </c>
      <c r="AJ25" s="16">
        <v>1444.7470004548811</v>
      </c>
      <c r="AK25" s="16">
        <v>1478.3816514516695</v>
      </c>
      <c r="AL25" s="16">
        <v>1531.8449618652487</v>
      </c>
      <c r="AM25" s="16">
        <v>1518.2532620036147</v>
      </c>
      <c r="AN25" s="16">
        <v>1541.0157858533285</v>
      </c>
      <c r="AO25" s="16">
        <v>1526.1704727583001</v>
      </c>
      <c r="AP25" s="16">
        <v>1505.4281511020929</v>
      </c>
      <c r="AQ25" s="16">
        <v>1506.8210223998331</v>
      </c>
      <c r="AR25" s="16">
        <v>1517.6195908627785</v>
      </c>
      <c r="AS25" s="16">
        <v>1430.3613612576487</v>
      </c>
      <c r="AT25" s="16">
        <v>1446.5240981438658</v>
      </c>
      <c r="AU25" s="16">
        <v>1507.1574076531438</v>
      </c>
      <c r="AV25" s="16">
        <v>1554.2061322922775</v>
      </c>
      <c r="AW25" s="16">
        <v>1473.8040342995146</v>
      </c>
      <c r="AX25" s="51">
        <f t="shared" ref="AX25:AX26" si="10">+(AW25+BA25)/2</f>
        <v>1513.7006570689471</v>
      </c>
      <c r="AY25" s="51">
        <f t="shared" ref="AY25:AY26" si="11">+(AX25+BA25)/2</f>
        <v>1533.6489684536632</v>
      </c>
      <c r="AZ25" s="51">
        <f t="shared" si="2"/>
        <v>1543.6231241460214</v>
      </c>
      <c r="BA25" s="32">
        <v>1553.5972798383796</v>
      </c>
      <c r="BB25" s="16">
        <v>1559.5408292190027</v>
      </c>
      <c r="BC25" s="16">
        <v>1519.7696087083571</v>
      </c>
      <c r="BD25" s="16">
        <v>1568.9544188942057</v>
      </c>
      <c r="BE25" s="16">
        <v>1647.4594149999998</v>
      </c>
      <c r="BF25" s="16">
        <v>1695.8306274000001</v>
      </c>
      <c r="BG25" s="16">
        <v>1693.7144499999997</v>
      </c>
      <c r="BH25" s="16">
        <v>1689.7845399999999</v>
      </c>
      <c r="BI25" s="16">
        <v>1708.7417108999998</v>
      </c>
      <c r="BJ25" s="16">
        <v>1692.9280000000001</v>
      </c>
      <c r="BK25" s="45">
        <v>1724.1859999999999</v>
      </c>
      <c r="BL25" s="45">
        <v>1716.2249999999999</v>
      </c>
      <c r="BM25" s="45">
        <v>1809.0139999999999</v>
      </c>
      <c r="BN25" s="45">
        <v>1783.8055704352498</v>
      </c>
      <c r="BO25" s="45">
        <v>1809.0170000000001</v>
      </c>
      <c r="BP25" s="45">
        <v>1815.489</v>
      </c>
      <c r="BQ25" s="45">
        <v>1468.9649999999999</v>
      </c>
      <c r="BR25" s="45">
        <v>1628.6410000000001</v>
      </c>
      <c r="BS25" s="45">
        <v>1652.229</v>
      </c>
      <c r="BT25" s="45">
        <v>1954.127</v>
      </c>
      <c r="BU25" s="45">
        <v>1869.17</v>
      </c>
      <c r="BV25" s="45">
        <v>2001.4870000000001</v>
      </c>
      <c r="BW25" s="45">
        <v>1957.596</v>
      </c>
      <c r="BX25" s="45">
        <v>1925.0740000000001</v>
      </c>
      <c r="BY25" s="45">
        <v>1990.55</v>
      </c>
      <c r="BZ25" s="45">
        <v>1982.6790000000001</v>
      </c>
      <c r="CA25" s="45">
        <v>1941.365</v>
      </c>
      <c r="CB25" s="45">
        <v>1923.953</v>
      </c>
      <c r="CC25" s="45">
        <v>1982.145</v>
      </c>
      <c r="CD25" s="45">
        <v>2102.9850000000001</v>
      </c>
      <c r="CE25" s="45">
        <v>2022.02</v>
      </c>
      <c r="CF25" s="45">
        <v>1932.7719999999999</v>
      </c>
      <c r="CG25" s="45">
        <v>1994.9939999999999</v>
      </c>
      <c r="CH25" s="45">
        <v>2001.375</v>
      </c>
      <c r="CI25" s="45">
        <v>2062.895</v>
      </c>
      <c r="CJ25" s="45">
        <v>2022.604</v>
      </c>
    </row>
    <row r="26" spans="1:88" ht="20.149999999999999" customHeight="1" x14ac:dyDescent="0.25">
      <c r="A26" s="12" t="s">
        <v>21</v>
      </c>
      <c r="B26" s="42">
        <v>1659.8984022973113</v>
      </c>
      <c r="C26" s="42">
        <v>1628.4618887477293</v>
      </c>
      <c r="D26" s="42">
        <v>1583.1093940720727</v>
      </c>
      <c r="E26" s="42">
        <v>1656.286360158379</v>
      </c>
      <c r="F26" s="42">
        <v>1700.3970164301293</v>
      </c>
      <c r="G26" s="42">
        <v>1682.202404366378</v>
      </c>
      <c r="H26" s="42">
        <v>1698.2817256629323</v>
      </c>
      <c r="I26" s="42">
        <v>1712.5785580324593</v>
      </c>
      <c r="J26" s="42">
        <v>1833.2028689717586</v>
      </c>
      <c r="K26" s="42">
        <v>1876.7887524889634</v>
      </c>
      <c r="L26" s="13">
        <v>1841.2893272789036</v>
      </c>
      <c r="M26" s="13">
        <v>1866.9020886364663</v>
      </c>
      <c r="N26" s="13">
        <v>1893.0439481548312</v>
      </c>
      <c r="O26" s="13">
        <v>1966.6687338939489</v>
      </c>
      <c r="P26" s="13">
        <v>1977.2048712114777</v>
      </c>
      <c r="Q26" s="13">
        <v>1965.7014189132699</v>
      </c>
      <c r="R26" s="48">
        <f t="shared" si="5"/>
        <v>1991.2486163936746</v>
      </c>
      <c r="S26" s="7">
        <v>2016.7958138740794</v>
      </c>
      <c r="T26" s="13">
        <v>2114.7380682909679</v>
      </c>
      <c r="U26" s="13">
        <v>2027.651958878738</v>
      </c>
      <c r="V26" s="13">
        <v>2007.4515233780105</v>
      </c>
      <c r="W26" s="13">
        <v>2166.6083763665256</v>
      </c>
      <c r="X26" s="13">
        <v>2213.6858580960902</v>
      </c>
      <c r="Y26" s="13">
        <v>2198.5475131348821</v>
      </c>
      <c r="Z26" s="13">
        <v>2125.8739001546869</v>
      </c>
      <c r="AA26" s="13">
        <v>2179.9634959670161</v>
      </c>
      <c r="AB26" s="13">
        <v>2301.1648186597072</v>
      </c>
      <c r="AC26" s="13">
        <v>2315.0396297898114</v>
      </c>
      <c r="AD26" s="13">
        <v>2280.6551310901468</v>
      </c>
      <c r="AE26" s="13">
        <v>2309.9298886437782</v>
      </c>
      <c r="AF26" s="13">
        <v>2265.1714874134982</v>
      </c>
      <c r="AG26" s="16">
        <v>2377.5678546019776</v>
      </c>
      <c r="AH26" s="16">
        <v>2406.5220849841808</v>
      </c>
      <c r="AI26" s="16">
        <v>2387.6605061090859</v>
      </c>
      <c r="AJ26" s="16">
        <v>2382.6076941370861</v>
      </c>
      <c r="AK26" s="16">
        <v>2382.2331411163691</v>
      </c>
      <c r="AL26" s="16">
        <v>2351.4930250825091</v>
      </c>
      <c r="AM26" s="16">
        <v>2471.088415333903</v>
      </c>
      <c r="AN26" s="16">
        <v>2540.2952495155396</v>
      </c>
      <c r="AO26" s="16">
        <v>2446.4318962858652</v>
      </c>
      <c r="AP26" s="16">
        <v>2528.3582353797842</v>
      </c>
      <c r="AQ26" s="16">
        <v>2426.1154379664986</v>
      </c>
      <c r="AR26" s="16">
        <v>2345.5041682412225</v>
      </c>
      <c r="AS26" s="16">
        <v>2384.2293962125118</v>
      </c>
      <c r="AT26" s="16">
        <v>2480.7840794919152</v>
      </c>
      <c r="AU26" s="16">
        <v>2465.3173390933084</v>
      </c>
      <c r="AV26" s="16">
        <v>2427.2457189404086</v>
      </c>
      <c r="AW26" s="16">
        <v>2384.0585972932317</v>
      </c>
      <c r="AX26" s="51">
        <f t="shared" si="10"/>
        <v>2474.3208452663284</v>
      </c>
      <c r="AY26" s="51">
        <f t="shared" si="11"/>
        <v>2519.451969252877</v>
      </c>
      <c r="AZ26" s="51">
        <f t="shared" si="2"/>
        <v>2542.0175312461515</v>
      </c>
      <c r="BA26" s="32">
        <v>2564.5830932394256</v>
      </c>
      <c r="BB26" s="16">
        <v>2606.8911757290075</v>
      </c>
      <c r="BC26" s="16">
        <v>2656.6260919592091</v>
      </c>
      <c r="BD26" s="16">
        <v>2610.2746376684577</v>
      </c>
      <c r="BE26" s="16">
        <v>2496.6204024000003</v>
      </c>
      <c r="BF26" s="16">
        <v>2621.6307117000001</v>
      </c>
      <c r="BG26" s="16">
        <v>2819.4240899999991</v>
      </c>
      <c r="BH26" s="16">
        <v>2771.70462</v>
      </c>
      <c r="BI26" s="16">
        <v>2687.9458003999998</v>
      </c>
      <c r="BJ26" s="16">
        <v>2714.7020000000002</v>
      </c>
      <c r="BK26" s="45">
        <v>2843.0419999999999</v>
      </c>
      <c r="BL26" s="45">
        <v>2858.6680000000001</v>
      </c>
      <c r="BM26" s="45">
        <v>2901.9989999999998</v>
      </c>
      <c r="BN26" s="45">
        <v>3047.0228313942002</v>
      </c>
      <c r="BO26" s="45">
        <v>3059.07</v>
      </c>
      <c r="BP26" s="45">
        <v>2860.761</v>
      </c>
      <c r="BQ26" s="45">
        <v>2511.8679999999999</v>
      </c>
      <c r="BR26" s="45">
        <v>2825.127</v>
      </c>
      <c r="BS26" s="45">
        <v>2874.6979999999999</v>
      </c>
      <c r="BT26" s="45">
        <v>3052.7930000000001</v>
      </c>
      <c r="BU26" s="45">
        <v>3229.2919999999999</v>
      </c>
      <c r="BV26" s="45">
        <v>3302.3020000000001</v>
      </c>
      <c r="BW26" s="45">
        <v>3231.402</v>
      </c>
      <c r="BX26" s="45">
        <v>3154.172</v>
      </c>
      <c r="BY26" s="45">
        <v>3194.5230000000001</v>
      </c>
      <c r="BZ26" s="45">
        <v>3156.828</v>
      </c>
      <c r="CA26" s="45">
        <v>3247.0419999999999</v>
      </c>
      <c r="CB26" s="45">
        <v>3071.864</v>
      </c>
      <c r="CC26" s="45">
        <v>3163.415</v>
      </c>
      <c r="CD26" s="45">
        <v>3347.962</v>
      </c>
      <c r="CE26" s="45">
        <v>3445.2829999999999</v>
      </c>
      <c r="CF26" s="45">
        <v>3269.866</v>
      </c>
      <c r="CG26" s="45">
        <v>3353.587</v>
      </c>
      <c r="CH26" s="45">
        <v>3548.069</v>
      </c>
      <c r="CI26" s="45">
        <v>3621.92</v>
      </c>
      <c r="CJ26" s="45">
        <v>3294.3040000000001</v>
      </c>
    </row>
    <row r="27" spans="1:88" ht="20.149999999999999" customHeight="1" thickBot="1" x14ac:dyDescent="0.3">
      <c r="A27" s="14" t="s"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49"/>
      <c r="S27" s="14"/>
      <c r="T27" s="14"/>
      <c r="U27" s="14"/>
      <c r="V27" s="14"/>
      <c r="W27" s="14"/>
      <c r="X27" s="1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37"/>
      <c r="AY27" s="37"/>
      <c r="AZ27" s="37"/>
      <c r="BA27" s="33"/>
      <c r="BB27" s="15"/>
      <c r="BC27" s="15"/>
      <c r="BD27" s="15"/>
      <c r="BE27" s="15"/>
      <c r="BF27" s="15"/>
      <c r="BG27" s="15"/>
      <c r="BH27" s="15"/>
      <c r="BI27" s="15"/>
      <c r="BJ27" s="15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</row>
    <row r="28" spans="1:88" ht="20.149999999999999" customHeight="1" x14ac:dyDescent="0.25">
      <c r="A28" s="12" t="s">
        <v>23</v>
      </c>
      <c r="B28" s="42">
        <v>328.6913995793285</v>
      </c>
      <c r="C28" s="42">
        <v>363.11316980857998</v>
      </c>
      <c r="D28" s="42">
        <v>342.95957887628748</v>
      </c>
      <c r="E28" s="42">
        <v>372.01512176041905</v>
      </c>
      <c r="F28" s="42">
        <v>395.58134361172392</v>
      </c>
      <c r="G28" s="42">
        <v>403.78980741935885</v>
      </c>
      <c r="H28" s="42">
        <v>348.32732605559386</v>
      </c>
      <c r="I28" s="42">
        <v>376.76530116813149</v>
      </c>
      <c r="J28" s="42">
        <v>419.85763154648799</v>
      </c>
      <c r="K28" s="42">
        <v>402.39599213338056</v>
      </c>
      <c r="L28" s="13">
        <v>382.70291928288708</v>
      </c>
      <c r="M28" s="13">
        <v>418.65684578073342</v>
      </c>
      <c r="N28" s="13">
        <v>430.03302949353235</v>
      </c>
      <c r="O28" s="13">
        <v>422.80158921381667</v>
      </c>
      <c r="P28" s="13">
        <v>466.00015876126349</v>
      </c>
      <c r="Q28" s="13">
        <v>458.77400101920875</v>
      </c>
      <c r="R28" s="48">
        <f t="shared" si="5"/>
        <v>457.31125553570985</v>
      </c>
      <c r="S28" s="7">
        <v>455.848510052211</v>
      </c>
      <c r="T28" s="13">
        <v>481.09501559260008</v>
      </c>
      <c r="U28" s="13">
        <v>472.10994166762617</v>
      </c>
      <c r="V28" s="13">
        <v>459.47254325116262</v>
      </c>
      <c r="W28" s="13">
        <v>503.49649403850287</v>
      </c>
      <c r="X28" s="13">
        <v>503.52677373122992</v>
      </c>
      <c r="Y28" s="13">
        <v>461.36570150497033</v>
      </c>
      <c r="Z28" s="13">
        <v>448.06600267567939</v>
      </c>
      <c r="AA28" s="13">
        <v>473.94732933905158</v>
      </c>
      <c r="AB28" s="13">
        <v>488.33204073176597</v>
      </c>
      <c r="AC28" s="13">
        <v>493.75480380625447</v>
      </c>
      <c r="AD28" s="13">
        <v>515.99350361385132</v>
      </c>
      <c r="AE28" s="13">
        <v>442.65107838419965</v>
      </c>
      <c r="AF28" s="13">
        <v>469.36339650748863</v>
      </c>
      <c r="AG28" s="13">
        <v>526.46515172273894</v>
      </c>
      <c r="AH28" s="13">
        <v>509.7274155369056</v>
      </c>
      <c r="AI28" s="13">
        <v>471.94890619605781</v>
      </c>
      <c r="AJ28" s="13">
        <v>382.82185392041583</v>
      </c>
      <c r="AK28" s="13">
        <v>447.08087181679571</v>
      </c>
      <c r="AL28" s="13">
        <v>451.52856109782539</v>
      </c>
      <c r="AM28" s="13">
        <v>486.77695085049868</v>
      </c>
      <c r="AN28" s="13">
        <v>405.26256523870092</v>
      </c>
      <c r="AO28" s="13">
        <v>454.65495546790305</v>
      </c>
      <c r="AP28" s="13">
        <v>475.30031556069139</v>
      </c>
      <c r="AQ28" s="13">
        <v>404.39082515857649</v>
      </c>
      <c r="AR28" s="13">
        <v>383.67069919999909</v>
      </c>
      <c r="AS28" s="13">
        <v>377.06161032875548</v>
      </c>
      <c r="AT28" s="13">
        <v>383.94649371810095</v>
      </c>
      <c r="AU28" s="13">
        <v>396.72568726034973</v>
      </c>
      <c r="AV28" s="13">
        <v>376.73171808241273</v>
      </c>
      <c r="AW28" s="13">
        <v>394.42034738969386</v>
      </c>
      <c r="AX28" s="51">
        <f t="shared" ref="AX28:AX31" si="12">+(AW28+BA28)/2</f>
        <v>402.7250116100887</v>
      </c>
      <c r="AY28" s="51">
        <f t="shared" ref="AY28:AY31" si="13">+(AX28+BA28)/2</f>
        <v>406.87734372028615</v>
      </c>
      <c r="AZ28" s="51">
        <f t="shared" si="2"/>
        <v>408.95350977538487</v>
      </c>
      <c r="BA28" s="31">
        <v>411.02967583048354</v>
      </c>
      <c r="BB28" s="13">
        <v>403.44870880803211</v>
      </c>
      <c r="BC28" s="13">
        <v>437.58839940435735</v>
      </c>
      <c r="BD28" s="13">
        <v>464.66352782236754</v>
      </c>
      <c r="BE28" s="13">
        <v>439.52084660000008</v>
      </c>
      <c r="BF28" s="13">
        <v>454.11267720000012</v>
      </c>
      <c r="BG28" s="13">
        <v>434.47876999999994</v>
      </c>
      <c r="BH28" s="13">
        <v>437.95013999999998</v>
      </c>
      <c r="BI28" s="13">
        <v>477.38881909999998</v>
      </c>
      <c r="BJ28" s="13">
        <v>469.03</v>
      </c>
      <c r="BK28" s="42">
        <v>462.11500000000001</v>
      </c>
      <c r="BL28" s="42">
        <v>430.61700000000002</v>
      </c>
      <c r="BM28" s="42">
        <v>416.32299999999998</v>
      </c>
      <c r="BN28" s="42">
        <v>476.89595676884068</v>
      </c>
      <c r="BO28" s="42">
        <v>509.56099999999998</v>
      </c>
      <c r="BP28" s="42">
        <v>426.60599999999999</v>
      </c>
      <c r="BQ28" s="42">
        <v>243.60499999999999</v>
      </c>
      <c r="BR28" s="42">
        <v>316.79300000000001</v>
      </c>
      <c r="BS28" s="42">
        <v>296.084</v>
      </c>
      <c r="BT28" s="42">
        <v>368.37700000000001</v>
      </c>
      <c r="BU28" s="42">
        <v>438.29</v>
      </c>
      <c r="BV28" s="42">
        <v>493.54700000000003</v>
      </c>
      <c r="BW28" s="42">
        <v>447.86700000000002</v>
      </c>
      <c r="BX28" s="42">
        <v>378.464</v>
      </c>
      <c r="BY28" s="42">
        <v>466.74099999999999</v>
      </c>
      <c r="BZ28" s="42">
        <v>453.471</v>
      </c>
      <c r="CA28" s="42">
        <v>468.916</v>
      </c>
      <c r="CB28" s="42">
        <v>451.21</v>
      </c>
      <c r="CC28" s="42">
        <v>415.51100000000002</v>
      </c>
      <c r="CD28" s="42">
        <v>431.74599999999998</v>
      </c>
      <c r="CE28" s="42">
        <v>461.67</v>
      </c>
      <c r="CF28" s="42">
        <v>416.72199999999998</v>
      </c>
      <c r="CG28" s="42">
        <v>393.24599999999998</v>
      </c>
      <c r="CH28" s="42">
        <v>440.68200000000002</v>
      </c>
      <c r="CI28" s="42">
        <v>482.267</v>
      </c>
      <c r="CJ28" s="42">
        <v>450.93900000000002</v>
      </c>
    </row>
    <row r="29" spans="1:88" ht="20.149999999999999" customHeight="1" x14ac:dyDescent="0.25">
      <c r="A29" s="12" t="s">
        <v>24</v>
      </c>
      <c r="B29" s="42">
        <v>1890.0867628515903</v>
      </c>
      <c r="C29" s="42">
        <v>1906.3847922837167</v>
      </c>
      <c r="D29" s="42">
        <v>1871.0475508781265</v>
      </c>
      <c r="E29" s="42">
        <v>1903.045263691288</v>
      </c>
      <c r="F29" s="42">
        <v>1956.8539204271133</v>
      </c>
      <c r="G29" s="42">
        <v>1948.4514489531191</v>
      </c>
      <c r="H29" s="42">
        <v>1919.1178326829563</v>
      </c>
      <c r="I29" s="42">
        <v>1974.4713817712709</v>
      </c>
      <c r="J29" s="42">
        <v>2016.90993447716</v>
      </c>
      <c r="K29" s="42">
        <v>2002.1951467493459</v>
      </c>
      <c r="L29" s="13">
        <v>1925.8205218928449</v>
      </c>
      <c r="M29" s="13">
        <v>1967.9031462138532</v>
      </c>
      <c r="N29" s="13">
        <v>1913.301743333961</v>
      </c>
      <c r="O29" s="13">
        <v>1998.130093316772</v>
      </c>
      <c r="P29" s="13">
        <v>1887.7575376277453</v>
      </c>
      <c r="Q29" s="13">
        <v>1901.222005635954</v>
      </c>
      <c r="R29" s="48">
        <f t="shared" si="5"/>
        <v>1881.6579386475573</v>
      </c>
      <c r="S29" s="7">
        <v>1862.0938716591606</v>
      </c>
      <c r="T29" s="13">
        <v>1836.3466180056109</v>
      </c>
      <c r="U29" s="13">
        <v>1932.3827040947604</v>
      </c>
      <c r="V29" s="13">
        <v>2006.5815428651556</v>
      </c>
      <c r="W29" s="13">
        <v>1919.5910755008306</v>
      </c>
      <c r="X29" s="13">
        <v>1924.6446911415148</v>
      </c>
      <c r="Y29" s="13">
        <v>2031.6642284868954</v>
      </c>
      <c r="Z29" s="13">
        <v>1975.0323300672692</v>
      </c>
      <c r="AA29" s="13">
        <v>2079.1968539873606</v>
      </c>
      <c r="AB29" s="13">
        <v>1992.5339220957321</v>
      </c>
      <c r="AC29" s="13">
        <v>2011.5699618369208</v>
      </c>
      <c r="AD29" s="13">
        <v>1912.5483764762994</v>
      </c>
      <c r="AE29" s="13">
        <v>1950.0851336350552</v>
      </c>
      <c r="AF29" s="13">
        <v>1964.3149574147619</v>
      </c>
      <c r="AG29" s="13">
        <v>1969.8957439965277</v>
      </c>
      <c r="AH29" s="13">
        <v>2007.3992363627985</v>
      </c>
      <c r="AI29" s="13">
        <v>1966.0275440724706</v>
      </c>
      <c r="AJ29" s="13">
        <v>2053.8132007980034</v>
      </c>
      <c r="AK29" s="13">
        <v>2124.4784622190059</v>
      </c>
      <c r="AL29" s="13">
        <v>2005.9554485289673</v>
      </c>
      <c r="AM29" s="13">
        <v>2062.7459181605764</v>
      </c>
      <c r="AN29" s="13">
        <v>2084.2729825471661</v>
      </c>
      <c r="AO29" s="13">
        <v>2232.9816320669329</v>
      </c>
      <c r="AP29" s="13">
        <v>2124.696909024236</v>
      </c>
      <c r="AQ29" s="13">
        <v>2176.1818134177106</v>
      </c>
      <c r="AR29" s="13">
        <v>2136.4228431292249</v>
      </c>
      <c r="AS29" s="13">
        <v>2194.6045643184225</v>
      </c>
      <c r="AT29" s="13">
        <v>2168.1140399128908</v>
      </c>
      <c r="AU29" s="13">
        <v>2195.7795874680337</v>
      </c>
      <c r="AV29" s="13">
        <v>2128.3640130623767</v>
      </c>
      <c r="AW29" s="13">
        <v>2155.4511164879532</v>
      </c>
      <c r="AX29" s="51">
        <f t="shared" si="12"/>
        <v>2243.2240486820692</v>
      </c>
      <c r="AY29" s="51">
        <f t="shared" si="13"/>
        <v>2287.1105147791277</v>
      </c>
      <c r="AZ29" s="51">
        <f t="shared" si="2"/>
        <v>2309.0537478276565</v>
      </c>
      <c r="BA29" s="31">
        <v>2330.9969808761857</v>
      </c>
      <c r="BB29" s="13">
        <v>2376.0983804109028</v>
      </c>
      <c r="BC29" s="13">
        <v>2358.2108411470945</v>
      </c>
      <c r="BD29" s="13">
        <v>2403.775387396503</v>
      </c>
      <c r="BE29" s="13">
        <v>2347.5714536</v>
      </c>
      <c r="BF29" s="13">
        <v>2495.4328581</v>
      </c>
      <c r="BG29" s="13">
        <v>2541.0711199999996</v>
      </c>
      <c r="BH29" s="13">
        <v>2430.8154799999998</v>
      </c>
      <c r="BI29" s="13">
        <v>2505.8992066000005</v>
      </c>
      <c r="BJ29" s="13">
        <v>2531.2689999999998</v>
      </c>
      <c r="BK29" s="42">
        <v>2488.8310000000001</v>
      </c>
      <c r="BL29" s="42">
        <v>2544.172</v>
      </c>
      <c r="BM29" s="42">
        <v>2628.8580000000002</v>
      </c>
      <c r="BN29" s="42">
        <v>2767.3426621532517</v>
      </c>
      <c r="BO29" s="42">
        <v>2775.34</v>
      </c>
      <c r="BP29" s="42">
        <v>2683.5810000000001</v>
      </c>
      <c r="BQ29" s="42">
        <v>1894.5989999999999</v>
      </c>
      <c r="BR29" s="42">
        <v>2660.4389999999999</v>
      </c>
      <c r="BS29" s="42">
        <v>3039.0059999999999</v>
      </c>
      <c r="BT29" s="42">
        <v>2926.74</v>
      </c>
      <c r="BU29" s="42">
        <v>2784.027</v>
      </c>
      <c r="BV29" s="42">
        <v>2890.779</v>
      </c>
      <c r="BW29" s="42">
        <v>2909.5940000000001</v>
      </c>
      <c r="BX29" s="42">
        <v>2903.6060000000002</v>
      </c>
      <c r="BY29" s="42">
        <v>2898.98</v>
      </c>
      <c r="BZ29" s="42">
        <v>3039.471</v>
      </c>
      <c r="CA29" s="42">
        <v>2924.1610000000001</v>
      </c>
      <c r="CB29" s="42">
        <v>2899.596</v>
      </c>
      <c r="CC29" s="42">
        <v>2924.7550000000001</v>
      </c>
      <c r="CD29" s="42">
        <v>2888.0819999999999</v>
      </c>
      <c r="CE29" s="42">
        <v>3049.806</v>
      </c>
      <c r="CF29" s="42">
        <v>2869.4879999999998</v>
      </c>
      <c r="CG29" s="42">
        <v>3061.2130000000002</v>
      </c>
      <c r="CH29" s="42">
        <v>3114.0970000000002</v>
      </c>
      <c r="CI29" s="42">
        <v>3235.1550000000002</v>
      </c>
      <c r="CJ29" s="42">
        <v>3119.4520000000002</v>
      </c>
    </row>
    <row r="30" spans="1:88" ht="20.149999999999999" customHeight="1" x14ac:dyDescent="0.25">
      <c r="A30" s="12" t="s">
        <v>25</v>
      </c>
      <c r="B30" s="42">
        <v>6652.2626880303023</v>
      </c>
      <c r="C30" s="42">
        <v>6837.3945644829255</v>
      </c>
      <c r="D30" s="42">
        <v>6880.375714514601</v>
      </c>
      <c r="E30" s="42">
        <v>6964.2267978074742</v>
      </c>
      <c r="F30" s="42">
        <v>7081.0073944478409</v>
      </c>
      <c r="G30" s="42">
        <v>7185.8382123353613</v>
      </c>
      <c r="H30" s="42">
        <v>7132.7117050374272</v>
      </c>
      <c r="I30" s="42">
        <v>7198.3248973609516</v>
      </c>
      <c r="J30" s="42">
        <v>7363.3756718501354</v>
      </c>
      <c r="K30" s="42">
        <v>7482.015564967669</v>
      </c>
      <c r="L30" s="13">
        <v>7493.5050100374237</v>
      </c>
      <c r="M30" s="13">
        <v>7659.0097457270112</v>
      </c>
      <c r="N30" s="13">
        <v>7713.0845682394083</v>
      </c>
      <c r="O30" s="13">
        <v>7752.6328176448178</v>
      </c>
      <c r="P30" s="13">
        <v>7765.9573172683859</v>
      </c>
      <c r="Q30" s="13">
        <v>7932.6420184836616</v>
      </c>
      <c r="R30" s="48">
        <f t="shared" si="5"/>
        <v>7941.6818172086441</v>
      </c>
      <c r="S30" s="7">
        <v>7950.7216159336276</v>
      </c>
      <c r="T30" s="13">
        <v>7963.3945332461863</v>
      </c>
      <c r="U30" s="13">
        <v>7934.4696070393366</v>
      </c>
      <c r="V30" s="13">
        <v>7897.1587423419187</v>
      </c>
      <c r="W30" s="13">
        <v>8160.835273833768</v>
      </c>
      <c r="X30" s="13">
        <v>8129.6918799720843</v>
      </c>
      <c r="Y30" s="13">
        <v>8023.7046043778701</v>
      </c>
      <c r="Z30" s="13">
        <v>8013.5193757528587</v>
      </c>
      <c r="AA30" s="13">
        <v>8050.2040162978174</v>
      </c>
      <c r="AB30" s="13">
        <v>8110.7535690495124</v>
      </c>
      <c r="AC30" s="13">
        <v>8182.683736141501</v>
      </c>
      <c r="AD30" s="13">
        <v>8283.1296724328076</v>
      </c>
      <c r="AE30" s="13">
        <v>8355.0255613637328</v>
      </c>
      <c r="AF30" s="13">
        <v>8315.3148299979093</v>
      </c>
      <c r="AG30" s="13">
        <v>8504.6797338003216</v>
      </c>
      <c r="AH30" s="13">
        <v>8573.8543091812226</v>
      </c>
      <c r="AI30" s="13">
        <v>8597.9385355635022</v>
      </c>
      <c r="AJ30" s="13">
        <v>8467.3907806088955</v>
      </c>
      <c r="AK30" s="13">
        <v>8496.4555695769686</v>
      </c>
      <c r="AL30" s="13">
        <v>8752.9869916749249</v>
      </c>
      <c r="AM30" s="13">
        <v>8667.213835473216</v>
      </c>
      <c r="AN30" s="13">
        <v>8502.5869814290945</v>
      </c>
      <c r="AO30" s="13">
        <v>8579.3728590586179</v>
      </c>
      <c r="AP30" s="13">
        <v>8679.2660370121303</v>
      </c>
      <c r="AQ30" s="13">
        <v>8667.6243308516659</v>
      </c>
      <c r="AR30" s="13">
        <v>8510.1189604707215</v>
      </c>
      <c r="AS30" s="13">
        <v>8378.9742824163914</v>
      </c>
      <c r="AT30" s="13">
        <v>8396.2268384240579</v>
      </c>
      <c r="AU30" s="13">
        <v>8587.9418146077587</v>
      </c>
      <c r="AV30" s="13">
        <v>8539.3020878122079</v>
      </c>
      <c r="AW30" s="13">
        <v>8547.3138366671064</v>
      </c>
      <c r="AX30" s="51">
        <f t="shared" si="12"/>
        <v>8607.7133504109061</v>
      </c>
      <c r="AY30" s="51">
        <f t="shared" si="13"/>
        <v>8637.9131072828059</v>
      </c>
      <c r="AZ30" s="51">
        <f t="shared" si="2"/>
        <v>8653.0129857187567</v>
      </c>
      <c r="BA30" s="31">
        <v>8668.1128641547057</v>
      </c>
      <c r="BB30" s="13">
        <v>8758.9835727266218</v>
      </c>
      <c r="BC30" s="13">
        <v>8741.0397859084114</v>
      </c>
      <c r="BD30" s="13">
        <v>8500.2516413271842</v>
      </c>
      <c r="BE30" s="13">
        <v>8646.8968077999998</v>
      </c>
      <c r="BF30" s="13">
        <v>8794.3598925000006</v>
      </c>
      <c r="BG30" s="13">
        <v>8986.4305599999989</v>
      </c>
      <c r="BH30" s="13">
        <v>8927.0849800000015</v>
      </c>
      <c r="BI30" s="13">
        <v>8694.8956340000004</v>
      </c>
      <c r="BJ30" s="13">
        <v>8761.2999999999993</v>
      </c>
      <c r="BK30" s="42">
        <v>8789.7260000000006</v>
      </c>
      <c r="BL30" s="42">
        <v>8902.9889999999996</v>
      </c>
      <c r="BM30" s="42">
        <v>8951.84</v>
      </c>
      <c r="BN30" s="42">
        <v>8796.2166131661361</v>
      </c>
      <c r="BO30" s="42">
        <v>8887.2469999999994</v>
      </c>
      <c r="BP30" s="42">
        <v>8855.2039999999997</v>
      </c>
      <c r="BQ30" s="42">
        <v>7344.8540000000003</v>
      </c>
      <c r="BR30" s="42">
        <v>7615.482</v>
      </c>
      <c r="BS30" s="42">
        <v>8123.69</v>
      </c>
      <c r="BT30" s="42">
        <v>8599.2279999999992</v>
      </c>
      <c r="BU30" s="42">
        <v>8704.0310000000009</v>
      </c>
      <c r="BV30" s="42">
        <v>8936.2420000000002</v>
      </c>
      <c r="BW30" s="42">
        <v>9230.8340000000007</v>
      </c>
      <c r="BX30" s="42">
        <v>9245.1219999999994</v>
      </c>
      <c r="BY30" s="42">
        <v>9556.1530000000002</v>
      </c>
      <c r="BZ30" s="42">
        <v>9362.2080000000005</v>
      </c>
      <c r="CA30" s="42">
        <v>9610.0079999999998</v>
      </c>
      <c r="CB30" s="42">
        <v>9795.1309999999994</v>
      </c>
      <c r="CC30" s="42">
        <v>9724.5689999999995</v>
      </c>
      <c r="CD30" s="42">
        <v>10024.31699999999</v>
      </c>
      <c r="CE30" s="42">
        <v>9963.6440000000002</v>
      </c>
      <c r="CF30" s="42">
        <v>9791.5990000000002</v>
      </c>
      <c r="CG30" s="42">
        <v>9808.5220000000008</v>
      </c>
      <c r="CH30" s="42">
        <v>9766.598</v>
      </c>
      <c r="CI30" s="42">
        <v>9833.2430000000004</v>
      </c>
      <c r="CJ30" s="42">
        <v>9633.4629999999997</v>
      </c>
    </row>
    <row r="31" spans="1:88" ht="20.149999999999999" customHeight="1" x14ac:dyDescent="0.25">
      <c r="A31" s="12" t="s">
        <v>26</v>
      </c>
      <c r="B31" s="42">
        <v>152.26944804844078</v>
      </c>
      <c r="C31" s="42">
        <v>143.47086099791903</v>
      </c>
      <c r="D31" s="42">
        <v>164.14122785061448</v>
      </c>
      <c r="E31" s="42">
        <v>126.02382436346645</v>
      </c>
      <c r="F31" s="42">
        <v>122.59235023535749</v>
      </c>
      <c r="G31" s="42">
        <v>132.45558048551908</v>
      </c>
      <c r="H31" s="42">
        <v>120.06712598692273</v>
      </c>
      <c r="I31" s="42">
        <v>87.012625374965978</v>
      </c>
      <c r="J31" s="42">
        <v>111.19706158865965</v>
      </c>
      <c r="K31" s="42">
        <v>128.29729218704512</v>
      </c>
      <c r="L31" s="13">
        <v>98.238568555868454</v>
      </c>
      <c r="M31" s="13">
        <v>112.62782338988494</v>
      </c>
      <c r="N31" s="13">
        <v>103.9551396761413</v>
      </c>
      <c r="O31" s="13">
        <v>124.3434728374728</v>
      </c>
      <c r="P31" s="13">
        <v>122.47164409499224</v>
      </c>
      <c r="Q31" s="13">
        <v>95.172607746039489</v>
      </c>
      <c r="R31" s="48">
        <f t="shared" si="5"/>
        <v>100.47522817815479</v>
      </c>
      <c r="S31" s="7">
        <v>105.7778486102701</v>
      </c>
      <c r="T31" s="13">
        <v>83.492455585614479</v>
      </c>
      <c r="U31" s="13">
        <v>99.037590590447095</v>
      </c>
      <c r="V31" s="13">
        <v>63.009666887181432</v>
      </c>
      <c r="W31" s="13">
        <v>84.741571007095075</v>
      </c>
      <c r="X31" s="13">
        <v>90.257285892105827</v>
      </c>
      <c r="Y31" s="13">
        <v>75.021281260289172</v>
      </c>
      <c r="Z31" s="13">
        <v>89.434811503583575</v>
      </c>
      <c r="AA31" s="13">
        <v>86.690350457777882</v>
      </c>
      <c r="AB31" s="13">
        <v>92.997689940457917</v>
      </c>
      <c r="AC31" s="13">
        <v>82.528770639300589</v>
      </c>
      <c r="AD31" s="13">
        <v>97.620226955423675</v>
      </c>
      <c r="AE31" s="13">
        <v>79.29941721726594</v>
      </c>
      <c r="AF31" s="13">
        <v>89.581319409446337</v>
      </c>
      <c r="AG31" s="13">
        <v>95.648144310381426</v>
      </c>
      <c r="AH31" s="13">
        <v>80.308413049067738</v>
      </c>
      <c r="AI31" s="13">
        <v>70.072088124567969</v>
      </c>
      <c r="AJ31" s="13">
        <v>56.855952218220139</v>
      </c>
      <c r="AK31" s="13">
        <v>69.749560578081514</v>
      </c>
      <c r="AL31" s="13">
        <v>75.260411829795288</v>
      </c>
      <c r="AM31" s="13">
        <v>53.139419494696931</v>
      </c>
      <c r="AN31" s="13">
        <v>82.583691578256463</v>
      </c>
      <c r="AO31" s="13">
        <v>69.753457179569267</v>
      </c>
      <c r="AP31" s="13">
        <v>51.256369516726821</v>
      </c>
      <c r="AQ31" s="13">
        <v>56.383418760504426</v>
      </c>
      <c r="AR31" s="13">
        <v>65.529456106980646</v>
      </c>
      <c r="AS31" s="13">
        <v>60.265913763246964</v>
      </c>
      <c r="AT31" s="13">
        <v>74.115730410162172</v>
      </c>
      <c r="AU31" s="13">
        <v>72.509421871393059</v>
      </c>
      <c r="AV31" s="13">
        <v>57.818858260264335</v>
      </c>
      <c r="AW31" s="13">
        <v>53.849130222885535</v>
      </c>
      <c r="AX31" s="51">
        <f t="shared" si="12"/>
        <v>58.054269241292261</v>
      </c>
      <c r="AY31" s="51">
        <f t="shared" si="13"/>
        <v>60.156838750495623</v>
      </c>
      <c r="AZ31" s="51">
        <f t="shared" si="2"/>
        <v>61.208123505097305</v>
      </c>
      <c r="BA31" s="31">
        <v>62.259408259698986</v>
      </c>
      <c r="BB31" s="13">
        <v>75.687237642730651</v>
      </c>
      <c r="BC31" s="13">
        <v>59.911357153416638</v>
      </c>
      <c r="BD31" s="13">
        <v>92.131648765713322</v>
      </c>
      <c r="BE31" s="13">
        <v>77.059066200000004</v>
      </c>
      <c r="BF31" s="13">
        <v>66.895892700000019</v>
      </c>
      <c r="BG31" s="13">
        <v>49.34758999999999</v>
      </c>
      <c r="BH31" s="13">
        <v>70.531329999999997</v>
      </c>
      <c r="BI31" s="13">
        <v>79.415506300000004</v>
      </c>
      <c r="BJ31" s="13">
        <v>60.424999999999997</v>
      </c>
      <c r="BK31" s="42">
        <v>52.725000000000001</v>
      </c>
      <c r="BL31" s="42">
        <v>69.539000000000001</v>
      </c>
      <c r="BM31" s="42">
        <v>76.372</v>
      </c>
      <c r="BN31" s="42">
        <v>68.577075014008088</v>
      </c>
      <c r="BO31" s="42">
        <v>67.971000000000004</v>
      </c>
      <c r="BP31" s="42">
        <v>79.808999999999997</v>
      </c>
      <c r="BQ31" s="42">
        <v>63.021999999999998</v>
      </c>
      <c r="BR31" s="42">
        <v>65.135000000000005</v>
      </c>
      <c r="BS31" s="42">
        <v>64.869</v>
      </c>
      <c r="BT31" s="42">
        <v>87.641999999999996</v>
      </c>
      <c r="BU31" s="42">
        <v>55.131999999999998</v>
      </c>
      <c r="BV31" s="42">
        <v>82.97</v>
      </c>
      <c r="BW31" s="42">
        <v>55.286999999999999</v>
      </c>
      <c r="BX31" s="42">
        <v>56.784999999999997</v>
      </c>
      <c r="BY31" s="42">
        <v>71.391000000000005</v>
      </c>
      <c r="BZ31" s="42">
        <v>66.950999999999993</v>
      </c>
      <c r="CA31" s="42">
        <v>58.017000000000003</v>
      </c>
      <c r="CB31" s="42">
        <v>45.423999999999999</v>
      </c>
      <c r="CC31" s="42">
        <v>42.804000000000002</v>
      </c>
      <c r="CD31" s="42">
        <v>52.057000000000002</v>
      </c>
      <c r="CE31" s="42">
        <v>42.817</v>
      </c>
      <c r="CF31" s="42">
        <v>36.119</v>
      </c>
      <c r="CG31" s="42">
        <v>34.92</v>
      </c>
      <c r="CH31" s="42">
        <v>46.662999999999997</v>
      </c>
      <c r="CI31" s="42">
        <v>45.819000000000003</v>
      </c>
      <c r="CJ31" s="42">
        <v>54.954999999999998</v>
      </c>
    </row>
    <row r="32" spans="1:88" ht="20.149999999999999" customHeight="1" thickBot="1" x14ac:dyDescent="0.3">
      <c r="A32" s="14" t="s">
        <v>27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18"/>
      <c r="M32" s="18"/>
      <c r="N32" s="18"/>
      <c r="O32" s="18"/>
      <c r="P32" s="18"/>
      <c r="Q32" s="18"/>
      <c r="R32" s="50"/>
      <c r="S32" s="19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38"/>
      <c r="AY32" s="38"/>
      <c r="AZ32" s="38"/>
      <c r="BA32" s="34"/>
      <c r="BB32" s="18"/>
      <c r="BC32" s="18"/>
      <c r="BD32" s="18"/>
      <c r="BE32" s="18"/>
      <c r="BF32" s="18"/>
      <c r="BG32" s="18"/>
      <c r="BH32" s="18"/>
      <c r="BI32" s="18"/>
      <c r="BJ32" s="18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</row>
    <row r="33" spans="1:88" ht="20.149999999999999" customHeight="1" x14ac:dyDescent="0.25">
      <c r="A33" s="12" t="s">
        <v>28</v>
      </c>
      <c r="B33" s="42">
        <v>173.39645730761467</v>
      </c>
      <c r="C33" s="42">
        <v>201.31579860633639</v>
      </c>
      <c r="D33" s="42">
        <v>186.18435978910799</v>
      </c>
      <c r="E33" s="42">
        <v>185.23842767634335</v>
      </c>
      <c r="F33" s="42">
        <v>185.74156713206966</v>
      </c>
      <c r="G33" s="42">
        <v>149.66845840013187</v>
      </c>
      <c r="H33" s="42">
        <v>141.64646252727823</v>
      </c>
      <c r="I33" s="42">
        <v>150.8058132834031</v>
      </c>
      <c r="J33" s="42">
        <v>167.27638322888183</v>
      </c>
      <c r="K33" s="42">
        <v>160.65425350081279</v>
      </c>
      <c r="L33" s="13">
        <v>145.23162313422222</v>
      </c>
      <c r="M33" s="13">
        <v>154.16458006976288</v>
      </c>
      <c r="N33" s="13">
        <v>134.06663182734187</v>
      </c>
      <c r="O33" s="13">
        <v>143.46040058294881</v>
      </c>
      <c r="P33" s="13">
        <v>149.52308540630196</v>
      </c>
      <c r="Q33" s="13">
        <v>120.13681028700543</v>
      </c>
      <c r="R33" s="48">
        <f t="shared" si="5"/>
        <v>125.76783590919683</v>
      </c>
      <c r="S33" s="7">
        <v>131.39886153138823</v>
      </c>
      <c r="T33" s="13">
        <v>147.68570885973611</v>
      </c>
      <c r="U33" s="13">
        <v>157.24782096301121</v>
      </c>
      <c r="V33" s="13">
        <v>170.93732021180509</v>
      </c>
      <c r="W33" s="13">
        <v>184.7920194297233</v>
      </c>
      <c r="X33" s="13">
        <v>123.66132264716823</v>
      </c>
      <c r="Y33" s="13">
        <v>191.98137996465005</v>
      </c>
      <c r="Z33" s="13">
        <v>157.67268888127796</v>
      </c>
      <c r="AA33" s="13">
        <v>200.612119377309</v>
      </c>
      <c r="AB33" s="13">
        <v>201.55539204036614</v>
      </c>
      <c r="AC33" s="13">
        <v>183.34925833129083</v>
      </c>
      <c r="AD33" s="13">
        <v>165.50357324258223</v>
      </c>
      <c r="AE33" s="13">
        <v>172.47927326533852</v>
      </c>
      <c r="AF33" s="13">
        <v>189.09725153618939</v>
      </c>
      <c r="AG33" s="13">
        <v>197.34215601701254</v>
      </c>
      <c r="AH33" s="13">
        <v>170.08383245497009</v>
      </c>
      <c r="AI33" s="13">
        <v>173.93934611691023</v>
      </c>
      <c r="AJ33" s="13">
        <v>123.03349098092869</v>
      </c>
      <c r="AK33" s="13">
        <v>123.75550904055375</v>
      </c>
      <c r="AL33" s="13">
        <v>107.78615309013458</v>
      </c>
      <c r="AM33" s="13">
        <v>120.49823312856083</v>
      </c>
      <c r="AN33" s="13">
        <v>118.20677647530167</v>
      </c>
      <c r="AO33" s="13">
        <v>119.15600705519115</v>
      </c>
      <c r="AP33" s="13">
        <v>109.82608366417521</v>
      </c>
      <c r="AQ33" s="13">
        <v>123.17824606631859</v>
      </c>
      <c r="AR33" s="13">
        <v>100.74945610012925</v>
      </c>
      <c r="AS33" s="13">
        <v>115.41201078557943</v>
      </c>
      <c r="AT33" s="13">
        <v>98.791585934808609</v>
      </c>
      <c r="AU33" s="13">
        <v>118.20938636605518</v>
      </c>
      <c r="AV33" s="13">
        <v>98.961301971749364</v>
      </c>
      <c r="AW33" s="13">
        <v>102.87807240387872</v>
      </c>
      <c r="AX33" s="51">
        <f t="shared" ref="AX33:AX45" si="14">+(AW33+BA33)/2</f>
        <v>105.11303620193937</v>
      </c>
      <c r="AY33" s="51">
        <f t="shared" ref="AY33:AY45" si="15">+(AX33+BA33)/2</f>
        <v>106.23051810096968</v>
      </c>
      <c r="AZ33" s="51">
        <f t="shared" si="2"/>
        <v>106.78925905048484</v>
      </c>
      <c r="BA33" s="31">
        <v>107.348</v>
      </c>
      <c r="BB33" s="13">
        <v>113.40183205272795</v>
      </c>
      <c r="BC33" s="13">
        <v>108.04608108789597</v>
      </c>
      <c r="BD33" s="13">
        <v>92.144800746496216</v>
      </c>
      <c r="BE33" s="13">
        <v>103.41619440000002</v>
      </c>
      <c r="BF33" s="13">
        <v>114.42210779999999</v>
      </c>
      <c r="BG33" s="13">
        <v>92.97757</v>
      </c>
      <c r="BH33" s="13">
        <v>116.40754999999997</v>
      </c>
      <c r="BI33" s="13">
        <v>109.28228889999998</v>
      </c>
      <c r="BJ33" s="13">
        <v>106.40300000000001</v>
      </c>
      <c r="BK33" s="42">
        <v>95.73</v>
      </c>
      <c r="BL33" s="42">
        <v>120.608</v>
      </c>
      <c r="BM33" s="42">
        <v>97.015000000000001</v>
      </c>
      <c r="BN33" s="42">
        <v>114.86505321731376</v>
      </c>
      <c r="BO33" s="42">
        <v>130.12100000000001</v>
      </c>
      <c r="BP33" s="42">
        <v>121.46299999999999</v>
      </c>
      <c r="BQ33" s="42">
        <v>93.078999999999994</v>
      </c>
      <c r="BR33" s="42">
        <v>103.816</v>
      </c>
      <c r="BS33" s="42">
        <v>97.995999999999995</v>
      </c>
      <c r="BT33" s="42">
        <v>111.848</v>
      </c>
      <c r="BU33" s="42">
        <v>123.01600000000001</v>
      </c>
      <c r="BV33" s="42">
        <v>136.47399999999999</v>
      </c>
      <c r="BW33" s="42">
        <v>119.035</v>
      </c>
      <c r="BX33" s="42">
        <v>139.24600000000001</v>
      </c>
      <c r="BY33" s="42">
        <v>124.384</v>
      </c>
      <c r="BZ33" s="42">
        <v>121.276</v>
      </c>
      <c r="CA33" s="42">
        <v>146.405</v>
      </c>
      <c r="CB33" s="42">
        <v>140.21299999999999</v>
      </c>
      <c r="CC33" s="42">
        <v>129.333</v>
      </c>
      <c r="CD33" s="42">
        <v>141.946</v>
      </c>
      <c r="CE33" s="42">
        <v>139.41999999999999</v>
      </c>
      <c r="CF33" s="42">
        <v>146.43100000000001</v>
      </c>
      <c r="CG33" s="42">
        <v>162.35400000000001</v>
      </c>
      <c r="CH33" s="42">
        <v>140.673</v>
      </c>
      <c r="CI33" s="42">
        <v>138.21799999999999</v>
      </c>
      <c r="CJ33" s="42">
        <v>134.81899999999999</v>
      </c>
    </row>
    <row r="34" spans="1:88" ht="20.149999999999999" customHeight="1" x14ac:dyDescent="0.25">
      <c r="A34" s="12" t="s">
        <v>29</v>
      </c>
      <c r="B34" s="42">
        <v>1233.4292433725029</v>
      </c>
      <c r="C34" s="42">
        <v>1219.5997657336661</v>
      </c>
      <c r="D34" s="42">
        <v>1245.8618774703839</v>
      </c>
      <c r="E34" s="42">
        <v>1364.8474856773821</v>
      </c>
      <c r="F34" s="42">
        <v>1340.1157363757511</v>
      </c>
      <c r="G34" s="42">
        <v>1387.5771646475021</v>
      </c>
      <c r="H34" s="42">
        <v>1399.8135619538723</v>
      </c>
      <c r="I34" s="42">
        <v>1363.8191752374271</v>
      </c>
      <c r="J34" s="42">
        <v>1399.1953737843121</v>
      </c>
      <c r="K34" s="42">
        <v>1414.5430832652946</v>
      </c>
      <c r="L34" s="13">
        <v>1395.7525838599793</v>
      </c>
      <c r="M34" s="13">
        <v>1474.0377411489433</v>
      </c>
      <c r="N34" s="13">
        <v>1455.8324746644271</v>
      </c>
      <c r="O34" s="13">
        <v>1447.5836118692578</v>
      </c>
      <c r="P34" s="13">
        <v>1420.6706667674225</v>
      </c>
      <c r="Q34" s="13">
        <v>1504.7010214124507</v>
      </c>
      <c r="R34" s="48">
        <f t="shared" si="5"/>
        <v>1510.8038063600757</v>
      </c>
      <c r="S34" s="7">
        <v>1516.9065913077004</v>
      </c>
      <c r="T34" s="13">
        <v>1455.9423422009693</v>
      </c>
      <c r="U34" s="13">
        <v>1434.5116391984245</v>
      </c>
      <c r="V34" s="13">
        <v>1421.7608457749186</v>
      </c>
      <c r="W34" s="13">
        <v>1578.0393691125967</v>
      </c>
      <c r="X34" s="13">
        <v>1475.3441241503667</v>
      </c>
      <c r="Y34" s="13">
        <v>1337.9246770320353</v>
      </c>
      <c r="Z34" s="13">
        <v>1373.5354690208533</v>
      </c>
      <c r="AA34" s="13">
        <v>1450.372615374984</v>
      </c>
      <c r="AB34" s="13">
        <v>1440.4428864496272</v>
      </c>
      <c r="AC34" s="13">
        <v>1415.2775554469815</v>
      </c>
      <c r="AD34" s="13">
        <v>1469.2864459847574</v>
      </c>
      <c r="AE34" s="13">
        <v>1542.0830240229845</v>
      </c>
      <c r="AF34" s="13">
        <v>1440.2273114066618</v>
      </c>
      <c r="AG34" s="13">
        <v>1467.4869315285969</v>
      </c>
      <c r="AH34" s="13">
        <v>1619.9097668235199</v>
      </c>
      <c r="AI34" s="13">
        <v>1557.916698918594</v>
      </c>
      <c r="AJ34" s="13">
        <v>1467.1648468896826</v>
      </c>
      <c r="AK34" s="13">
        <v>1438.6615198932766</v>
      </c>
      <c r="AL34" s="13">
        <v>1503.572341733287</v>
      </c>
      <c r="AM34" s="13">
        <v>1454.5081715927952</v>
      </c>
      <c r="AN34" s="13">
        <v>1464.1951370214904</v>
      </c>
      <c r="AO34" s="13">
        <v>1523.094100817475</v>
      </c>
      <c r="AP34" s="13">
        <v>1503.1658237763038</v>
      </c>
      <c r="AQ34" s="13">
        <v>1466.8543542155435</v>
      </c>
      <c r="AR34" s="13">
        <v>1429.0258261505194</v>
      </c>
      <c r="AS34" s="13">
        <v>1444.9201951545963</v>
      </c>
      <c r="AT34" s="13">
        <v>1469.4376788058303</v>
      </c>
      <c r="AU34" s="13">
        <v>1489.3305055908399</v>
      </c>
      <c r="AV34" s="13">
        <v>1461.5150338181807</v>
      </c>
      <c r="AW34" s="13">
        <v>1477.048199080514</v>
      </c>
      <c r="AX34" s="51">
        <f t="shared" si="14"/>
        <v>1435.330599540257</v>
      </c>
      <c r="AY34" s="51">
        <f t="shared" si="15"/>
        <v>1414.4717997701287</v>
      </c>
      <c r="AZ34" s="51">
        <f t="shared" si="2"/>
        <v>1404.0423998850642</v>
      </c>
      <c r="BA34" s="31">
        <v>1393.6130000000001</v>
      </c>
      <c r="BB34" s="13">
        <v>1470.2235539549711</v>
      </c>
      <c r="BC34" s="13">
        <v>1420.5026195835339</v>
      </c>
      <c r="BD34" s="13">
        <v>1332.8126273193054</v>
      </c>
      <c r="BE34" s="13">
        <v>1422.1716824000002</v>
      </c>
      <c r="BF34" s="13">
        <v>1404.9228375</v>
      </c>
      <c r="BG34" s="13">
        <v>1381.7749399999998</v>
      </c>
      <c r="BH34" s="13">
        <v>1387.3723599999998</v>
      </c>
      <c r="BI34" s="13">
        <v>1348.7618460000001</v>
      </c>
      <c r="BJ34" s="13">
        <v>1310.338</v>
      </c>
      <c r="BK34" s="42">
        <v>1286.693</v>
      </c>
      <c r="BL34" s="42">
        <v>1351.1089999999999</v>
      </c>
      <c r="BM34" s="42">
        <v>1418.394</v>
      </c>
      <c r="BN34" s="42">
        <v>1420.1693973237425</v>
      </c>
      <c r="BO34" s="42">
        <v>1332.473</v>
      </c>
      <c r="BP34" s="42">
        <v>1335.4280000000001</v>
      </c>
      <c r="BQ34" s="42">
        <v>1171.0309999999999</v>
      </c>
      <c r="BR34" s="42">
        <v>1258.2329999999999</v>
      </c>
      <c r="BS34" s="42">
        <v>1516.615</v>
      </c>
      <c r="BT34" s="42">
        <v>1436.5360000000001</v>
      </c>
      <c r="BU34" s="42">
        <v>1304.066</v>
      </c>
      <c r="BV34" s="42">
        <v>1279.492</v>
      </c>
      <c r="BW34" s="42">
        <v>1499.462</v>
      </c>
      <c r="BX34" s="42">
        <v>1506.114</v>
      </c>
      <c r="BY34" s="42">
        <v>1500.97</v>
      </c>
      <c r="BZ34" s="42">
        <v>1456.6479999999999</v>
      </c>
      <c r="CA34" s="42">
        <v>1567.2059999999999</v>
      </c>
      <c r="CB34" s="42">
        <v>1639.64</v>
      </c>
      <c r="CC34" s="42">
        <v>1600.181</v>
      </c>
      <c r="CD34" s="42">
        <v>1536.366</v>
      </c>
      <c r="CE34" s="42">
        <v>1523.1379999999999</v>
      </c>
      <c r="CF34" s="42">
        <v>1500.7639999999999</v>
      </c>
      <c r="CG34" s="42">
        <v>1433.259</v>
      </c>
      <c r="CH34" s="42">
        <v>1395.546</v>
      </c>
      <c r="CI34" s="42">
        <v>1330.17</v>
      </c>
      <c r="CJ34" s="42">
        <v>1459.624</v>
      </c>
    </row>
    <row r="35" spans="1:88" ht="20.149999999999999" customHeight="1" x14ac:dyDescent="0.25">
      <c r="A35" s="12" t="s">
        <v>30</v>
      </c>
      <c r="B35" s="42">
        <v>623.91328526927589</v>
      </c>
      <c r="C35" s="42">
        <v>674.52275968378888</v>
      </c>
      <c r="D35" s="42">
        <v>726.34681473753835</v>
      </c>
      <c r="E35" s="42">
        <v>684.69958304682189</v>
      </c>
      <c r="F35" s="42">
        <v>744.71480588786187</v>
      </c>
      <c r="G35" s="42">
        <v>740.4170409254898</v>
      </c>
      <c r="H35" s="42">
        <v>729.85866298184555</v>
      </c>
      <c r="I35" s="42">
        <v>767.39464530358646</v>
      </c>
      <c r="J35" s="42">
        <v>820.49384797876871</v>
      </c>
      <c r="K35" s="42">
        <v>864.72051333733714</v>
      </c>
      <c r="L35" s="13">
        <v>829.08012229899725</v>
      </c>
      <c r="M35" s="13">
        <v>824.45383051204453</v>
      </c>
      <c r="N35" s="13">
        <v>859.39648831037277</v>
      </c>
      <c r="O35" s="13">
        <v>948.71584705869975</v>
      </c>
      <c r="P35" s="13">
        <v>942.22795802279711</v>
      </c>
      <c r="Q35" s="13">
        <v>911.05561536967582</v>
      </c>
      <c r="R35" s="48">
        <f t="shared" si="5"/>
        <v>927.26353687883488</v>
      </c>
      <c r="S35" s="7">
        <v>943.47145838799406</v>
      </c>
      <c r="T35" s="13">
        <v>907.6209933961004</v>
      </c>
      <c r="U35" s="13">
        <v>887.03904210809776</v>
      </c>
      <c r="V35" s="13">
        <v>971.78937927655613</v>
      </c>
      <c r="W35" s="13">
        <v>961.75777047488873</v>
      </c>
      <c r="X35" s="13">
        <v>969.46605478486958</v>
      </c>
      <c r="Y35" s="13">
        <v>928.63258273919757</v>
      </c>
      <c r="Z35" s="13">
        <v>959.69837087538906</v>
      </c>
      <c r="AA35" s="13">
        <v>937.86272802565736</v>
      </c>
      <c r="AB35" s="13">
        <v>924.33189072900609</v>
      </c>
      <c r="AC35" s="13">
        <v>938.90432629692657</v>
      </c>
      <c r="AD35" s="13">
        <v>948.70004663092845</v>
      </c>
      <c r="AE35" s="13">
        <v>927.03955288159204</v>
      </c>
      <c r="AF35" s="13">
        <v>944.53289492842202</v>
      </c>
      <c r="AG35" s="13">
        <v>969.55331173230036</v>
      </c>
      <c r="AH35" s="13">
        <v>1062.3459210766273</v>
      </c>
      <c r="AI35" s="13">
        <v>1015.3674310605871</v>
      </c>
      <c r="AJ35" s="13">
        <v>1010.0693674445512</v>
      </c>
      <c r="AK35" s="13">
        <v>994.14769761693697</v>
      </c>
      <c r="AL35" s="13">
        <v>1008.2168008706769</v>
      </c>
      <c r="AM35" s="13">
        <v>1019.074062413812</v>
      </c>
      <c r="AN35" s="13">
        <v>971.41634209848917</v>
      </c>
      <c r="AO35" s="13">
        <v>1040.2667610447822</v>
      </c>
      <c r="AP35" s="13">
        <v>1038.4866808933932</v>
      </c>
      <c r="AQ35" s="13">
        <v>992.20629176010266</v>
      </c>
      <c r="AR35" s="13">
        <v>1019.4180037582265</v>
      </c>
      <c r="AS35" s="13">
        <v>973.17431468777215</v>
      </c>
      <c r="AT35" s="13">
        <v>1010.9256187404754</v>
      </c>
      <c r="AU35" s="13">
        <v>1046.3089545814983</v>
      </c>
      <c r="AV35" s="13">
        <v>950.06319967111938</v>
      </c>
      <c r="AW35" s="13">
        <v>1064.7879492516022</v>
      </c>
      <c r="AX35" s="51">
        <f t="shared" si="14"/>
        <v>1071.722974625801</v>
      </c>
      <c r="AY35" s="51">
        <f t="shared" si="15"/>
        <v>1075.1904873129006</v>
      </c>
      <c r="AZ35" s="51">
        <f t="shared" si="2"/>
        <v>1076.9242436564502</v>
      </c>
      <c r="BA35" s="31">
        <v>1078.6579999999999</v>
      </c>
      <c r="BB35" s="13">
        <v>1089.831254469362</v>
      </c>
      <c r="BC35" s="13">
        <v>1044.8607074695087</v>
      </c>
      <c r="BD35" s="13">
        <v>1025.5702159413415</v>
      </c>
      <c r="BE35" s="13">
        <v>1052.0253106</v>
      </c>
      <c r="BF35" s="13">
        <v>1089.7888092000001</v>
      </c>
      <c r="BG35" s="13">
        <v>1086.8892799999999</v>
      </c>
      <c r="BH35" s="13">
        <v>1018.53349</v>
      </c>
      <c r="BI35" s="13">
        <v>1078.9741303000001</v>
      </c>
      <c r="BJ35" s="13">
        <v>1127.2239999999999</v>
      </c>
      <c r="BK35" s="42">
        <v>1092.546</v>
      </c>
      <c r="BL35" s="42">
        <v>1025.702</v>
      </c>
      <c r="BM35" s="42">
        <v>1109.085</v>
      </c>
      <c r="BN35" s="42">
        <v>1131.614583600121</v>
      </c>
      <c r="BO35" s="42">
        <v>1102.9059999999999</v>
      </c>
      <c r="BP35" s="42">
        <v>1007.773</v>
      </c>
      <c r="BQ35" s="42">
        <v>661.97500000000002</v>
      </c>
      <c r="BR35" s="42">
        <v>919.07100000000003</v>
      </c>
      <c r="BS35" s="42">
        <v>1168.902</v>
      </c>
      <c r="BT35" s="42">
        <v>1043.482</v>
      </c>
      <c r="BU35" s="42">
        <v>1022.848</v>
      </c>
      <c r="BV35" s="42">
        <v>1036.634</v>
      </c>
      <c r="BW35" s="42">
        <v>1058.5889999999999</v>
      </c>
      <c r="BX35" s="42">
        <v>1033.6369999999999</v>
      </c>
      <c r="BY35" s="42">
        <v>1160.0650000000001</v>
      </c>
      <c r="BZ35" s="42">
        <v>1162.1220000000001</v>
      </c>
      <c r="CA35" s="42">
        <v>1187.2049999999999</v>
      </c>
      <c r="CB35" s="42">
        <v>1148.3440000000001</v>
      </c>
      <c r="CC35" s="42">
        <v>1278.3800000000001</v>
      </c>
      <c r="CD35" s="42">
        <v>1201.6420000000001</v>
      </c>
      <c r="CE35" s="42">
        <v>1195.5740000000001</v>
      </c>
      <c r="CF35" s="42">
        <v>1027.799</v>
      </c>
      <c r="CG35" s="42">
        <v>1139.7929999999999</v>
      </c>
      <c r="CH35" s="42">
        <v>1191.971</v>
      </c>
      <c r="CI35" s="42">
        <v>1185.28</v>
      </c>
      <c r="CJ35" s="42">
        <v>1078.307</v>
      </c>
    </row>
    <row r="36" spans="1:88" ht="20.149999999999999" customHeight="1" x14ac:dyDescent="0.25">
      <c r="A36" s="12" t="s">
        <v>31</v>
      </c>
      <c r="B36" s="42">
        <v>1831.2275094314243</v>
      </c>
      <c r="C36" s="42">
        <v>1905.6455937687788</v>
      </c>
      <c r="D36" s="42">
        <v>1897.4507175373446</v>
      </c>
      <c r="E36" s="42">
        <v>1873.5423116753484</v>
      </c>
      <c r="F36" s="42">
        <v>1927.6966776228226</v>
      </c>
      <c r="G36" s="42">
        <v>2030.9124311676426</v>
      </c>
      <c r="H36" s="42">
        <v>1902.38194010702</v>
      </c>
      <c r="I36" s="42">
        <v>1848.2711038182924</v>
      </c>
      <c r="J36" s="42">
        <v>2026.2692614857206</v>
      </c>
      <c r="K36" s="42">
        <v>2009.482298589988</v>
      </c>
      <c r="L36" s="13">
        <v>1926.6712185131394</v>
      </c>
      <c r="M36" s="13">
        <v>2030.9293805679811</v>
      </c>
      <c r="N36" s="13">
        <v>2056.750443919173</v>
      </c>
      <c r="O36" s="13">
        <v>2066.4467371222941</v>
      </c>
      <c r="P36" s="13">
        <v>2024.3220365790653</v>
      </c>
      <c r="Q36" s="13">
        <v>1984.3037700894565</v>
      </c>
      <c r="R36" s="48">
        <f t="shared" si="5"/>
        <v>1993.0948755642482</v>
      </c>
      <c r="S36" s="7">
        <v>2001.88598103904</v>
      </c>
      <c r="T36" s="13">
        <v>2032.6306549000751</v>
      </c>
      <c r="U36" s="13">
        <v>2070.5990079877597</v>
      </c>
      <c r="V36" s="13">
        <v>2083.6454955173799</v>
      </c>
      <c r="W36" s="13">
        <v>2096.772442422659</v>
      </c>
      <c r="X36" s="13">
        <v>2073.590095683754</v>
      </c>
      <c r="Y36" s="13">
        <v>2031.1375739175833</v>
      </c>
      <c r="Z36" s="13">
        <v>2059.8791223004496</v>
      </c>
      <c r="AA36" s="13">
        <v>2085.8600123963338</v>
      </c>
      <c r="AB36" s="13">
        <v>2068.7691007411472</v>
      </c>
      <c r="AC36" s="13">
        <v>2060.4500223945406</v>
      </c>
      <c r="AD36" s="13">
        <v>2118.0582470350178</v>
      </c>
      <c r="AE36" s="13">
        <v>2101.3165009788318</v>
      </c>
      <c r="AF36" s="13">
        <v>2159.5967917854632</v>
      </c>
      <c r="AG36" s="13">
        <v>2192.2887265287118</v>
      </c>
      <c r="AH36" s="13">
        <v>2085.7766169408928</v>
      </c>
      <c r="AI36" s="13">
        <v>2111.5827576513821</v>
      </c>
      <c r="AJ36" s="13">
        <v>2020.6752584707338</v>
      </c>
      <c r="AK36" s="13">
        <v>2078.3417457704063</v>
      </c>
      <c r="AL36" s="13">
        <v>2081.3946579128428</v>
      </c>
      <c r="AM36" s="13">
        <v>2095.973866669337</v>
      </c>
      <c r="AN36" s="13">
        <v>2061.0353390611608</v>
      </c>
      <c r="AO36" s="13">
        <v>2061.2486638345508</v>
      </c>
      <c r="AP36" s="13">
        <v>2047.0068134727867</v>
      </c>
      <c r="AQ36" s="13">
        <v>2049.311997914012</v>
      </c>
      <c r="AR36" s="13">
        <v>1982.4621963516402</v>
      </c>
      <c r="AS36" s="13">
        <v>1922.7085525683306</v>
      </c>
      <c r="AT36" s="13">
        <v>1867.7087921865946</v>
      </c>
      <c r="AU36" s="13">
        <v>2001.1939439012287</v>
      </c>
      <c r="AV36" s="13">
        <v>1902.5955677701372</v>
      </c>
      <c r="AW36" s="13">
        <v>1906.1460646369835</v>
      </c>
      <c r="AX36" s="51">
        <f t="shared" si="14"/>
        <v>1980.0625323184918</v>
      </c>
      <c r="AY36" s="51">
        <f t="shared" si="15"/>
        <v>2017.0207661592458</v>
      </c>
      <c r="AZ36" s="51">
        <f t="shared" si="2"/>
        <v>2035.4998830796228</v>
      </c>
      <c r="BA36" s="31">
        <v>2053.9789999999998</v>
      </c>
      <c r="BB36" s="13">
        <v>2126.0885374702202</v>
      </c>
      <c r="BC36" s="13">
        <v>2037.8200304527741</v>
      </c>
      <c r="BD36" s="13">
        <v>2050.799492073158</v>
      </c>
      <c r="BE36" s="13">
        <v>2112.1079764000006</v>
      </c>
      <c r="BF36" s="13">
        <v>2137.7665491000002</v>
      </c>
      <c r="BG36" s="13">
        <v>2146.0772899999997</v>
      </c>
      <c r="BH36" s="13">
        <v>2139.7940800000001</v>
      </c>
      <c r="BI36" s="13">
        <v>2173.1856318</v>
      </c>
      <c r="BJ36" s="13">
        <v>2211.0810000000001</v>
      </c>
      <c r="BK36" s="42">
        <v>2164.1529999999998</v>
      </c>
      <c r="BL36" s="42">
        <v>2191.2359999999999</v>
      </c>
      <c r="BM36" s="42">
        <v>2221.3560000000002</v>
      </c>
      <c r="BN36" s="42">
        <v>2253.8613741675367</v>
      </c>
      <c r="BO36" s="42">
        <v>2221.819</v>
      </c>
      <c r="BP36" s="42">
        <v>2239.3069999999998</v>
      </c>
      <c r="BQ36" s="42">
        <v>1652.1569999999999</v>
      </c>
      <c r="BR36" s="42">
        <v>1907.095</v>
      </c>
      <c r="BS36" s="42">
        <v>1959.377</v>
      </c>
      <c r="BT36" s="42">
        <v>2165.3919999999998</v>
      </c>
      <c r="BU36" s="42">
        <v>2117.3649999999998</v>
      </c>
      <c r="BV36" s="42">
        <v>2336.2379999999998</v>
      </c>
      <c r="BW36" s="42">
        <v>2427.9</v>
      </c>
      <c r="BX36" s="42">
        <v>2258.5639999999999</v>
      </c>
      <c r="BY36" s="42">
        <v>2476.2750000000001</v>
      </c>
      <c r="BZ36" s="42">
        <v>2466.6410000000001</v>
      </c>
      <c r="CA36" s="42">
        <v>2330.66</v>
      </c>
      <c r="CB36" s="42">
        <v>2393.37</v>
      </c>
      <c r="CC36" s="42">
        <v>2390.7779999999998</v>
      </c>
      <c r="CD36" s="42">
        <v>2584.94</v>
      </c>
      <c r="CE36" s="42">
        <v>2522.21</v>
      </c>
      <c r="CF36" s="42">
        <v>2469.5189999999998</v>
      </c>
      <c r="CG36" s="42">
        <v>2488.83</v>
      </c>
      <c r="CH36" s="42">
        <v>2498.4650000000001</v>
      </c>
      <c r="CI36" s="42">
        <v>2438.3510000000001</v>
      </c>
      <c r="CJ36" s="42">
        <v>2553.009</v>
      </c>
    </row>
    <row r="37" spans="1:88" ht="20.149999999999999" customHeight="1" x14ac:dyDescent="0.25">
      <c r="A37" s="12" t="s">
        <v>32</v>
      </c>
      <c r="B37" s="42">
        <v>241.12959123373469</v>
      </c>
      <c r="C37" s="42">
        <v>287.85212124401426</v>
      </c>
      <c r="D37" s="42">
        <v>325.28054790680125</v>
      </c>
      <c r="E37" s="42">
        <v>303.35204026741997</v>
      </c>
      <c r="F37" s="42">
        <v>344.52711137783086</v>
      </c>
      <c r="G37" s="42">
        <v>317.06106831630063</v>
      </c>
      <c r="H37" s="42">
        <v>326.42604715423556</v>
      </c>
      <c r="I37" s="42">
        <v>322.43986646562678</v>
      </c>
      <c r="J37" s="42">
        <v>323.34487273247788</v>
      </c>
      <c r="K37" s="42">
        <v>323.85122735299069</v>
      </c>
      <c r="L37" s="13">
        <v>355.950506794136</v>
      </c>
      <c r="M37" s="13">
        <v>348.80194935811721</v>
      </c>
      <c r="N37" s="13">
        <v>369.30811966124304</v>
      </c>
      <c r="O37" s="13">
        <v>404.14789372628616</v>
      </c>
      <c r="P37" s="13">
        <v>398.65234003372387</v>
      </c>
      <c r="Q37" s="13">
        <v>352.70972965306811</v>
      </c>
      <c r="R37" s="48">
        <f t="shared" si="5"/>
        <v>352.87123758990197</v>
      </c>
      <c r="S37" s="7">
        <v>353.03274552673577</v>
      </c>
      <c r="T37" s="13">
        <v>393.32050506919927</v>
      </c>
      <c r="U37" s="13">
        <v>358.68526728157417</v>
      </c>
      <c r="V37" s="13">
        <v>338.2718531607162</v>
      </c>
      <c r="W37" s="13">
        <v>432.83880513425726</v>
      </c>
      <c r="X37" s="13">
        <v>385.08575128223811</v>
      </c>
      <c r="Y37" s="13">
        <v>371.09894193843934</v>
      </c>
      <c r="Z37" s="13">
        <v>343.17488124650271</v>
      </c>
      <c r="AA37" s="13">
        <v>379.0001242264471</v>
      </c>
      <c r="AB37" s="13">
        <v>449.2947131058591</v>
      </c>
      <c r="AC37" s="13">
        <v>425.94255562063682</v>
      </c>
      <c r="AD37" s="13">
        <v>356.9681909180066</v>
      </c>
      <c r="AE37" s="13">
        <v>371.36102189434166</v>
      </c>
      <c r="AF37" s="13">
        <v>386.3604846747449</v>
      </c>
      <c r="AG37" s="13">
        <v>396.8291237336951</v>
      </c>
      <c r="AH37" s="13">
        <v>435.23788141175498</v>
      </c>
      <c r="AI37" s="13">
        <v>398.96585184973645</v>
      </c>
      <c r="AJ37" s="13">
        <v>401.6649875727349</v>
      </c>
      <c r="AK37" s="13">
        <v>394.90221607151301</v>
      </c>
      <c r="AL37" s="13">
        <v>410.48835700353135</v>
      </c>
      <c r="AM37" s="13">
        <v>433.98203826522695</v>
      </c>
      <c r="AN37" s="13">
        <v>417.63152020526724</v>
      </c>
      <c r="AO37" s="13">
        <v>384.03978390705612</v>
      </c>
      <c r="AP37" s="13">
        <v>398.03543846646193</v>
      </c>
      <c r="AQ37" s="13">
        <v>376.58163476076402</v>
      </c>
      <c r="AR37" s="13">
        <v>410.97707953816024</v>
      </c>
      <c r="AS37" s="13">
        <v>384.92070492386188</v>
      </c>
      <c r="AT37" s="13">
        <v>441.06463724920707</v>
      </c>
      <c r="AU37" s="13">
        <v>402.39624453432521</v>
      </c>
      <c r="AV37" s="13">
        <v>427.22330398921406</v>
      </c>
      <c r="AW37" s="13">
        <v>371.52996126054944</v>
      </c>
      <c r="AX37" s="51">
        <f t="shared" si="14"/>
        <v>395.38798063027468</v>
      </c>
      <c r="AY37" s="51">
        <f t="shared" si="15"/>
        <v>407.31699031513733</v>
      </c>
      <c r="AZ37" s="51">
        <f t="shared" si="2"/>
        <v>413.28149515756866</v>
      </c>
      <c r="BA37" s="31">
        <v>419.24599999999998</v>
      </c>
      <c r="BB37" s="13">
        <v>420.09842363342818</v>
      </c>
      <c r="BC37" s="13">
        <v>430.74930966528552</v>
      </c>
      <c r="BD37" s="13">
        <v>450.02132644770745</v>
      </c>
      <c r="BE37" s="13">
        <v>460.56129220000003</v>
      </c>
      <c r="BF37" s="13">
        <v>494.56617210000002</v>
      </c>
      <c r="BG37" s="13">
        <v>469.8277599999999</v>
      </c>
      <c r="BH37" s="13">
        <v>517.76640000000009</v>
      </c>
      <c r="BI37" s="13">
        <v>496.9990573</v>
      </c>
      <c r="BJ37" s="13">
        <v>461.80200000000002</v>
      </c>
      <c r="BK37" s="42">
        <v>465.18200000000002</v>
      </c>
      <c r="BL37" s="42">
        <v>484.06700000000001</v>
      </c>
      <c r="BM37" s="42">
        <v>467.58800000000002</v>
      </c>
      <c r="BN37" s="42">
        <v>416.50758298684434</v>
      </c>
      <c r="BO37" s="42">
        <v>496.59800000000001</v>
      </c>
      <c r="BP37" s="42">
        <v>490.71199999999999</v>
      </c>
      <c r="BQ37" s="42">
        <v>268.79000000000002</v>
      </c>
      <c r="BR37" s="42">
        <v>395.464</v>
      </c>
      <c r="BS37" s="42">
        <v>315.72500000000002</v>
      </c>
      <c r="BT37" s="42">
        <v>335.959</v>
      </c>
      <c r="BU37" s="42">
        <v>406.322</v>
      </c>
      <c r="BV37" s="42">
        <v>410.63799999999998</v>
      </c>
      <c r="BW37" s="42">
        <v>427.53399999999999</v>
      </c>
      <c r="BX37" s="42">
        <v>455.74700000000001</v>
      </c>
      <c r="BY37" s="42">
        <v>488.48399999999998</v>
      </c>
      <c r="BZ37" s="42">
        <v>468.01</v>
      </c>
      <c r="CA37" s="42">
        <v>519.84400000000005</v>
      </c>
      <c r="CB37" s="42">
        <v>508.81799999999998</v>
      </c>
      <c r="CC37" s="42">
        <v>469.47</v>
      </c>
      <c r="CD37" s="42">
        <v>593.08399999999995</v>
      </c>
      <c r="CE37" s="42">
        <v>619.14300000000003</v>
      </c>
      <c r="CF37" s="42">
        <v>536.82799999999997</v>
      </c>
      <c r="CG37" s="42">
        <v>511.63600000000002</v>
      </c>
      <c r="CH37" s="42">
        <v>668.71600000000001</v>
      </c>
      <c r="CI37" s="42">
        <v>764.78599999999994</v>
      </c>
      <c r="CJ37" s="42">
        <v>660.88800000000003</v>
      </c>
    </row>
    <row r="38" spans="1:88" ht="20.149999999999999" customHeight="1" x14ac:dyDescent="0.25">
      <c r="A38" s="12" t="s">
        <v>33</v>
      </c>
      <c r="B38" s="42">
        <v>595.14503128320507</v>
      </c>
      <c r="C38" s="42">
        <v>630.72615709652348</v>
      </c>
      <c r="D38" s="42">
        <v>606.34471199158111</v>
      </c>
      <c r="E38" s="42">
        <v>597.02246998716589</v>
      </c>
      <c r="F38" s="42">
        <v>659.04055348953409</v>
      </c>
      <c r="G38" s="42">
        <v>675.50162164367123</v>
      </c>
      <c r="H38" s="42">
        <v>653.2057198859535</v>
      </c>
      <c r="I38" s="42">
        <v>649.86335229599035</v>
      </c>
      <c r="J38" s="42">
        <v>671.88093767098644</v>
      </c>
      <c r="K38" s="42">
        <v>673.01598848181516</v>
      </c>
      <c r="L38" s="13">
        <v>662.45312086856347</v>
      </c>
      <c r="M38" s="13">
        <v>652.18232828079204</v>
      </c>
      <c r="N38" s="13">
        <v>667.51752859882527</v>
      </c>
      <c r="O38" s="13">
        <v>665.12667702309147</v>
      </c>
      <c r="P38" s="13">
        <v>688.08707860334562</v>
      </c>
      <c r="Q38" s="13">
        <v>736.52697178399092</v>
      </c>
      <c r="R38" s="48">
        <f t="shared" si="5"/>
        <v>724.07825731001549</v>
      </c>
      <c r="S38" s="7">
        <v>711.62954283604006</v>
      </c>
      <c r="T38" s="13">
        <v>706.38979699087122</v>
      </c>
      <c r="U38" s="13">
        <v>791.03479941359092</v>
      </c>
      <c r="V38" s="13">
        <v>711.97924252220832</v>
      </c>
      <c r="W38" s="13">
        <v>728.70012109845425</v>
      </c>
      <c r="X38" s="13">
        <v>739.16915526905007</v>
      </c>
      <c r="Y38" s="13">
        <v>736.70009913688205</v>
      </c>
      <c r="Z38" s="13">
        <v>740.16785982022202</v>
      </c>
      <c r="AA38" s="13">
        <v>704.03467736568973</v>
      </c>
      <c r="AB38" s="13">
        <v>705.27084701099022</v>
      </c>
      <c r="AC38" s="13">
        <v>738.25623352729895</v>
      </c>
      <c r="AD38" s="13">
        <v>770.6157996669665</v>
      </c>
      <c r="AE38" s="13">
        <v>736.57294805921845</v>
      </c>
      <c r="AF38" s="13">
        <v>722.56713270111072</v>
      </c>
      <c r="AG38" s="13">
        <v>742.97835648359944</v>
      </c>
      <c r="AH38" s="13">
        <v>714.64650889339839</v>
      </c>
      <c r="AI38" s="13">
        <v>806.37012069968728</v>
      </c>
      <c r="AJ38" s="13">
        <v>862.27356587230452</v>
      </c>
      <c r="AK38" s="13">
        <v>898.0029753415273</v>
      </c>
      <c r="AL38" s="13">
        <v>922.63134407882796</v>
      </c>
      <c r="AM38" s="13">
        <v>958.34417874458768</v>
      </c>
      <c r="AN38" s="13">
        <v>893.27883851429567</v>
      </c>
      <c r="AO38" s="13">
        <v>867.29230490739747</v>
      </c>
      <c r="AP38" s="13">
        <v>902.74497717877796</v>
      </c>
      <c r="AQ38" s="13">
        <v>944.77862263909003</v>
      </c>
      <c r="AR38" s="13">
        <v>876.15291132358277</v>
      </c>
      <c r="AS38" s="13">
        <v>905.53823508809671</v>
      </c>
      <c r="AT38" s="13">
        <v>898.24021370636558</v>
      </c>
      <c r="AU38" s="13">
        <v>880.07309285051497</v>
      </c>
      <c r="AV38" s="13">
        <v>908.50354472242657</v>
      </c>
      <c r="AW38" s="13">
        <v>944.69778037075423</v>
      </c>
      <c r="AX38" s="51">
        <f t="shared" si="14"/>
        <v>908.00939018537713</v>
      </c>
      <c r="AY38" s="51">
        <f t="shared" si="15"/>
        <v>889.66519509268858</v>
      </c>
      <c r="AZ38" s="51">
        <f t="shared" si="2"/>
        <v>880.4930975463443</v>
      </c>
      <c r="BA38" s="31">
        <v>871.32100000000003</v>
      </c>
      <c r="BB38" s="13">
        <v>806.15565374521907</v>
      </c>
      <c r="BC38" s="13">
        <v>833.91658458088148</v>
      </c>
      <c r="BD38" s="13">
        <v>858.5764808686622</v>
      </c>
      <c r="BE38" s="13">
        <v>853.3603887999999</v>
      </c>
      <c r="BF38" s="13">
        <v>831.26381519999995</v>
      </c>
      <c r="BG38" s="13">
        <v>859.67867000000001</v>
      </c>
      <c r="BH38" s="13">
        <v>856.68604000000005</v>
      </c>
      <c r="BI38" s="13">
        <v>859.8975332</v>
      </c>
      <c r="BJ38" s="13">
        <v>830.77800000000002</v>
      </c>
      <c r="BK38" s="42">
        <v>844.11500000000001</v>
      </c>
      <c r="BL38" s="42">
        <v>857.35299999999995</v>
      </c>
      <c r="BM38" s="42">
        <v>896.13300000000004</v>
      </c>
      <c r="BN38" s="42">
        <v>912.60487722945913</v>
      </c>
      <c r="BO38" s="42">
        <v>925.47699999999998</v>
      </c>
      <c r="BP38" s="42">
        <v>875.80799999999999</v>
      </c>
      <c r="BQ38" s="42">
        <v>695.00300000000004</v>
      </c>
      <c r="BR38" s="42">
        <v>794.54499999999996</v>
      </c>
      <c r="BS38" s="42">
        <v>780.93600000000004</v>
      </c>
      <c r="BT38" s="42">
        <v>941.84500000000003</v>
      </c>
      <c r="BU38" s="42">
        <v>960.30600000000004</v>
      </c>
      <c r="BV38" s="42">
        <v>949.55</v>
      </c>
      <c r="BW38" s="42">
        <v>943.40499999999997</v>
      </c>
      <c r="BX38" s="42">
        <v>1014.061</v>
      </c>
      <c r="BY38" s="42">
        <v>955.45</v>
      </c>
      <c r="BZ38" s="42">
        <v>898.15800000000002</v>
      </c>
      <c r="CA38" s="42">
        <v>942.13400000000001</v>
      </c>
      <c r="CB38" s="42">
        <v>997.67399999999998</v>
      </c>
      <c r="CC38" s="42">
        <v>951.22699999999998</v>
      </c>
      <c r="CD38" s="42">
        <v>954.59900000000005</v>
      </c>
      <c r="CE38" s="42">
        <v>980.44100000000003</v>
      </c>
      <c r="CF38" s="42">
        <v>1032.654</v>
      </c>
      <c r="CG38" s="42">
        <v>1110.7339999999999</v>
      </c>
      <c r="CH38" s="42">
        <v>1027.9760000000001</v>
      </c>
      <c r="CI38" s="42">
        <v>1133.9090000000001</v>
      </c>
      <c r="CJ38" s="42">
        <v>1154.991</v>
      </c>
    </row>
    <row r="39" spans="1:88" ht="20.149999999999999" customHeight="1" x14ac:dyDescent="0.25">
      <c r="A39" s="12" t="s">
        <v>34</v>
      </c>
      <c r="B39" s="42">
        <v>810.69776420636742</v>
      </c>
      <c r="C39" s="42">
        <v>860.96903398316977</v>
      </c>
      <c r="D39" s="42">
        <v>889.80287975258079</v>
      </c>
      <c r="E39" s="42">
        <v>841.78702282997051</v>
      </c>
      <c r="F39" s="42">
        <v>820.75935836708595</v>
      </c>
      <c r="G39" s="42">
        <v>902.23972805408789</v>
      </c>
      <c r="H39" s="42">
        <v>950.92779494888077</v>
      </c>
      <c r="I39" s="42">
        <v>948.25539119367374</v>
      </c>
      <c r="J39" s="42">
        <v>954.57778007848106</v>
      </c>
      <c r="K39" s="42">
        <v>934.14302564492755</v>
      </c>
      <c r="L39" s="13">
        <v>971.94187458366287</v>
      </c>
      <c r="M39" s="13">
        <v>1031.9039100760072</v>
      </c>
      <c r="N39" s="13">
        <v>1017.9887971866785</v>
      </c>
      <c r="O39" s="13">
        <v>986.37217936343598</v>
      </c>
      <c r="P39" s="13">
        <v>1045.2278259219845</v>
      </c>
      <c r="Q39" s="13">
        <v>1065.3206943333682</v>
      </c>
      <c r="R39" s="48">
        <f t="shared" si="5"/>
        <v>1078.2802932353368</v>
      </c>
      <c r="S39" s="7">
        <v>1091.2398921373053</v>
      </c>
      <c r="T39" s="13">
        <v>1040.8429625039212</v>
      </c>
      <c r="U39" s="13">
        <v>1124.7995097508733</v>
      </c>
      <c r="V39" s="13">
        <v>1037.8303189517126</v>
      </c>
      <c r="W39" s="13">
        <v>1019.7113517140955</v>
      </c>
      <c r="X39" s="13">
        <v>1118.0059927441216</v>
      </c>
      <c r="Y39" s="13">
        <v>1218.6633932753023</v>
      </c>
      <c r="Z39" s="13">
        <v>1076.3069636236517</v>
      </c>
      <c r="AA39" s="13">
        <v>1078.7428267919233</v>
      </c>
      <c r="AB39" s="13">
        <v>1072.7333502656172</v>
      </c>
      <c r="AC39" s="13">
        <v>1199.1325263169163</v>
      </c>
      <c r="AD39" s="13">
        <v>1140.0911289509429</v>
      </c>
      <c r="AE39" s="13">
        <v>1148.8904636170671</v>
      </c>
      <c r="AF39" s="13">
        <v>1162.4642551214442</v>
      </c>
      <c r="AG39" s="13">
        <v>1218.7543900211631</v>
      </c>
      <c r="AH39" s="13">
        <v>1106.0489436561179</v>
      </c>
      <c r="AI39" s="13">
        <v>1120.3853418657616</v>
      </c>
      <c r="AJ39" s="13">
        <v>1066.1443043086774</v>
      </c>
      <c r="AK39" s="13">
        <v>1089.253917876453</v>
      </c>
      <c r="AL39" s="13">
        <v>1135.945046673648</v>
      </c>
      <c r="AM39" s="13">
        <v>1153.4050192399166</v>
      </c>
      <c r="AN39" s="13">
        <v>1168.420079936941</v>
      </c>
      <c r="AO39" s="13">
        <v>1173.7303228089959</v>
      </c>
      <c r="AP39" s="13">
        <v>1019.6800529141371</v>
      </c>
      <c r="AQ39" s="13">
        <v>1067.5071533891628</v>
      </c>
      <c r="AR39" s="13">
        <v>1097.5393747685748</v>
      </c>
      <c r="AS39" s="13">
        <v>1029.0309195033251</v>
      </c>
      <c r="AT39" s="13">
        <v>1049.0875356218928</v>
      </c>
      <c r="AU39" s="13">
        <v>1092.3273996860373</v>
      </c>
      <c r="AV39" s="13">
        <v>1098.9313900706024</v>
      </c>
      <c r="AW39" s="13">
        <v>1018.0539532675382</v>
      </c>
      <c r="AX39" s="51">
        <f t="shared" si="14"/>
        <v>1067.4809766337689</v>
      </c>
      <c r="AY39" s="51">
        <f t="shared" si="15"/>
        <v>1092.1944883168844</v>
      </c>
      <c r="AZ39" s="51">
        <f t="shared" si="2"/>
        <v>1104.5512441584422</v>
      </c>
      <c r="BA39" s="31">
        <v>1116.9079999999999</v>
      </c>
      <c r="BB39" s="13">
        <v>1130.8073836075093</v>
      </c>
      <c r="BC39" s="13">
        <v>1262.0438046465911</v>
      </c>
      <c r="BD39" s="13">
        <v>1269.0801518271414</v>
      </c>
      <c r="BE39" s="13">
        <v>1187.8487210000001</v>
      </c>
      <c r="BF39" s="13">
        <v>1194.3695127000001</v>
      </c>
      <c r="BG39" s="13">
        <v>1267.4005199999999</v>
      </c>
      <c r="BH39" s="13">
        <v>1265.0896400000001</v>
      </c>
      <c r="BI39" s="13">
        <v>1170.989149</v>
      </c>
      <c r="BJ39" s="13">
        <v>1186.74</v>
      </c>
      <c r="BK39" s="42">
        <v>1208.77</v>
      </c>
      <c r="BL39" s="42">
        <v>1334.374</v>
      </c>
      <c r="BM39" s="42">
        <v>1264.5319999999999</v>
      </c>
      <c r="BN39" s="42">
        <v>1302.0664078447992</v>
      </c>
      <c r="BO39" s="42">
        <v>1273.982</v>
      </c>
      <c r="BP39" s="42">
        <v>1267.876</v>
      </c>
      <c r="BQ39" s="42">
        <v>1049.4780000000001</v>
      </c>
      <c r="BR39" s="42">
        <v>1100.6310000000001</v>
      </c>
      <c r="BS39" s="42">
        <v>1273.914</v>
      </c>
      <c r="BT39" s="42">
        <v>1349.634</v>
      </c>
      <c r="BU39" s="42">
        <v>1296.575</v>
      </c>
      <c r="BV39" s="42">
        <v>1287.0650000000001</v>
      </c>
      <c r="BW39" s="42">
        <v>1416.9010000000001</v>
      </c>
      <c r="BX39" s="42">
        <v>1337.0160000000001</v>
      </c>
      <c r="BY39" s="42">
        <v>1352.0650000000001</v>
      </c>
      <c r="BZ39" s="42">
        <v>1378.9390000000001</v>
      </c>
      <c r="CA39" s="42">
        <v>1364.4259999999999</v>
      </c>
      <c r="CB39" s="42">
        <v>1404.0350000000001</v>
      </c>
      <c r="CC39" s="42">
        <v>1429.17</v>
      </c>
      <c r="CD39" s="42">
        <v>1398.5070000000001</v>
      </c>
      <c r="CE39" s="42">
        <v>1562.144</v>
      </c>
      <c r="CF39" s="42">
        <v>1501.8789999999999</v>
      </c>
      <c r="CG39" s="42">
        <v>1486.163</v>
      </c>
      <c r="CH39" s="42">
        <v>1526.336</v>
      </c>
      <c r="CI39" s="42">
        <v>1620.8989999999999</v>
      </c>
      <c r="CJ39" s="42">
        <v>1518.9739999999999</v>
      </c>
    </row>
    <row r="40" spans="1:88" ht="20.149999999999999" customHeight="1" x14ac:dyDescent="0.25">
      <c r="A40" s="12" t="s">
        <v>35</v>
      </c>
      <c r="B40" s="42">
        <v>790.48423773097875</v>
      </c>
      <c r="C40" s="42">
        <v>746.15602231863011</v>
      </c>
      <c r="D40" s="42">
        <v>683.91754703559968</v>
      </c>
      <c r="E40" s="42">
        <v>757.31980651656227</v>
      </c>
      <c r="F40" s="42">
        <v>751.11659369009078</v>
      </c>
      <c r="G40" s="42">
        <v>699.79170998917516</v>
      </c>
      <c r="H40" s="42">
        <v>676.02479002597988</v>
      </c>
      <c r="I40" s="42">
        <v>753.46727288338047</v>
      </c>
      <c r="J40" s="42">
        <v>744.41035715855071</v>
      </c>
      <c r="K40" s="42">
        <v>798.63845764922041</v>
      </c>
      <c r="L40" s="13">
        <v>751.6851564938064</v>
      </c>
      <c r="M40" s="13">
        <v>783.48288311793749</v>
      </c>
      <c r="N40" s="13">
        <v>830.67463303870181</v>
      </c>
      <c r="O40" s="13">
        <v>827.62410284414136</v>
      </c>
      <c r="P40" s="13">
        <v>707.61147028253117</v>
      </c>
      <c r="Q40" s="13">
        <v>802.72850408252884</v>
      </c>
      <c r="R40" s="48">
        <f t="shared" si="5"/>
        <v>800.0841013388881</v>
      </c>
      <c r="S40" s="7">
        <v>797.43969859524748</v>
      </c>
      <c r="T40" s="13">
        <v>797.80461269614625</v>
      </c>
      <c r="U40" s="13">
        <v>785.7903967260313</v>
      </c>
      <c r="V40" s="13">
        <v>774.55252485719063</v>
      </c>
      <c r="W40" s="13">
        <v>821.1857397804946</v>
      </c>
      <c r="X40" s="13">
        <v>825.81126116998291</v>
      </c>
      <c r="Y40" s="13">
        <v>869.43844276208881</v>
      </c>
      <c r="Z40" s="13">
        <v>820.29019368352408</v>
      </c>
      <c r="AA40" s="13">
        <v>829.8256111648235</v>
      </c>
      <c r="AB40" s="13">
        <v>846.83194431703816</v>
      </c>
      <c r="AC40" s="13">
        <v>834.99180601888122</v>
      </c>
      <c r="AD40" s="13">
        <v>833.80003247855541</v>
      </c>
      <c r="AE40" s="13">
        <v>851.88689121193897</v>
      </c>
      <c r="AF40" s="13">
        <v>844.94944998873211</v>
      </c>
      <c r="AG40" s="13">
        <v>871.14008274026992</v>
      </c>
      <c r="AH40" s="13">
        <v>882.87948400425796</v>
      </c>
      <c r="AI40" s="13">
        <v>836.83482767832857</v>
      </c>
      <c r="AJ40" s="13">
        <v>840.47960797016651</v>
      </c>
      <c r="AK40" s="13">
        <v>860.03904323179484</v>
      </c>
      <c r="AL40" s="13">
        <v>874.47417527442394</v>
      </c>
      <c r="AM40" s="13">
        <v>918.08314738938509</v>
      </c>
      <c r="AN40" s="13">
        <v>879.06340176664901</v>
      </c>
      <c r="AO40" s="13">
        <v>904.02920136814384</v>
      </c>
      <c r="AP40" s="13">
        <v>910.192492681923</v>
      </c>
      <c r="AQ40" s="13">
        <v>862.86124811060176</v>
      </c>
      <c r="AR40" s="13">
        <v>885.18637329034527</v>
      </c>
      <c r="AS40" s="13">
        <v>908.24047324535923</v>
      </c>
      <c r="AT40" s="13">
        <v>893.95925834068066</v>
      </c>
      <c r="AU40" s="13">
        <v>869.13258284329004</v>
      </c>
      <c r="AV40" s="13">
        <v>879.91855750392119</v>
      </c>
      <c r="AW40" s="13">
        <v>904.43108695473825</v>
      </c>
      <c r="AX40" s="51">
        <f t="shared" si="14"/>
        <v>912.98704347736907</v>
      </c>
      <c r="AY40" s="51">
        <f t="shared" si="15"/>
        <v>917.26502173868448</v>
      </c>
      <c r="AZ40" s="51">
        <f t="shared" si="2"/>
        <v>919.4040108693423</v>
      </c>
      <c r="BA40" s="31">
        <v>921.54300000000001</v>
      </c>
      <c r="BB40" s="13">
        <v>926.86279737179575</v>
      </c>
      <c r="BC40" s="13">
        <v>948.99099923460381</v>
      </c>
      <c r="BD40" s="13">
        <v>908.19485759913982</v>
      </c>
      <c r="BE40" s="13">
        <v>953.77729940000006</v>
      </c>
      <c r="BF40" s="13">
        <v>966.90812399999993</v>
      </c>
      <c r="BG40" s="13">
        <v>1002.6219499999997</v>
      </c>
      <c r="BH40" s="13">
        <v>963.61473999999998</v>
      </c>
      <c r="BI40" s="13">
        <v>987.51051700000016</v>
      </c>
      <c r="BJ40" s="13">
        <v>1014.005</v>
      </c>
      <c r="BK40" s="42">
        <v>985.80700000000002</v>
      </c>
      <c r="BL40" s="42">
        <v>919.00199999999995</v>
      </c>
      <c r="BM40" s="42">
        <v>1052.0239999999999</v>
      </c>
      <c r="BN40" s="42">
        <v>1029.9458202864394</v>
      </c>
      <c r="BO40" s="42">
        <v>1001.928</v>
      </c>
      <c r="BP40" s="42">
        <v>947.76300000000003</v>
      </c>
      <c r="BQ40" s="42">
        <v>965.89200000000005</v>
      </c>
      <c r="BR40" s="42">
        <v>1005.015</v>
      </c>
      <c r="BS40" s="42">
        <v>992.06700000000001</v>
      </c>
      <c r="BT40" s="42">
        <v>954.55899999999997</v>
      </c>
      <c r="BU40" s="42">
        <v>1042.7660000000001</v>
      </c>
      <c r="BV40" s="42">
        <v>1005.917</v>
      </c>
      <c r="BW40" s="42">
        <v>1107.2629999999999</v>
      </c>
      <c r="BX40" s="42">
        <v>1066.329</v>
      </c>
      <c r="BY40" s="42">
        <v>967.702</v>
      </c>
      <c r="BZ40" s="42">
        <v>965.88099999999997</v>
      </c>
      <c r="CA40" s="42">
        <v>1183.796</v>
      </c>
      <c r="CB40" s="42">
        <v>1001.2619999999999</v>
      </c>
      <c r="CC40" s="42">
        <v>973.29300000000001</v>
      </c>
      <c r="CD40" s="42">
        <v>1114.22</v>
      </c>
      <c r="CE40" s="42">
        <v>1130.547</v>
      </c>
      <c r="CF40" s="42">
        <v>1022.998</v>
      </c>
      <c r="CG40" s="42">
        <v>1030.298</v>
      </c>
      <c r="CH40" s="42">
        <v>1121.249</v>
      </c>
      <c r="CI40" s="42">
        <v>1064.2719999999999</v>
      </c>
      <c r="CJ40" s="42">
        <v>956.95</v>
      </c>
    </row>
    <row r="41" spans="1:88" ht="20.149999999999999" customHeight="1" x14ac:dyDescent="0.25">
      <c r="A41" s="12" t="s">
        <v>36</v>
      </c>
      <c r="B41" s="42">
        <v>676.86324081818282</v>
      </c>
      <c r="C41" s="42">
        <v>658.21526538678813</v>
      </c>
      <c r="D41" s="42">
        <v>629.11468581054044</v>
      </c>
      <c r="E41" s="42">
        <v>617.01178892550229</v>
      </c>
      <c r="F41" s="42">
        <v>698.99080882359033</v>
      </c>
      <c r="G41" s="42">
        <v>635.44573316163735</v>
      </c>
      <c r="H41" s="42">
        <v>643.19484551762991</v>
      </c>
      <c r="I41" s="42">
        <v>642.27607526355246</v>
      </c>
      <c r="J41" s="42">
        <v>634.91777831367085</v>
      </c>
      <c r="K41" s="42">
        <v>648.18478305293775</v>
      </c>
      <c r="L41" s="13">
        <v>640.6308587087384</v>
      </c>
      <c r="M41" s="13">
        <v>636.95775342290324</v>
      </c>
      <c r="N41" s="13">
        <v>605.28886199791725</v>
      </c>
      <c r="O41" s="13">
        <v>579.60570852837043</v>
      </c>
      <c r="P41" s="13">
        <v>620.06537695404279</v>
      </c>
      <c r="Q41" s="13">
        <v>629.05223205160814</v>
      </c>
      <c r="R41" s="48">
        <f t="shared" si="5"/>
        <v>593.49509369055238</v>
      </c>
      <c r="S41" s="7">
        <v>557.93795532949662</v>
      </c>
      <c r="T41" s="13">
        <v>591.36630751193491</v>
      </c>
      <c r="U41" s="13">
        <v>612.02565130955634</v>
      </c>
      <c r="V41" s="13">
        <v>576.08934098878058</v>
      </c>
      <c r="W41" s="13">
        <v>621.35265155305683</v>
      </c>
      <c r="X41" s="13">
        <v>646.2903484218117</v>
      </c>
      <c r="Y41" s="13">
        <v>609.98212012412284</v>
      </c>
      <c r="Z41" s="13">
        <v>599.97973971643341</v>
      </c>
      <c r="AA41" s="13">
        <v>605.36409240503679</v>
      </c>
      <c r="AB41" s="13">
        <v>649.1259786266877</v>
      </c>
      <c r="AC41" s="13">
        <v>599.27207571716838</v>
      </c>
      <c r="AD41" s="13">
        <v>591.80028444642835</v>
      </c>
      <c r="AE41" s="13">
        <v>559.88865819962837</v>
      </c>
      <c r="AF41" s="13">
        <v>577.6283754393221</v>
      </c>
      <c r="AG41" s="13">
        <v>596.93226345396351</v>
      </c>
      <c r="AH41" s="13">
        <v>590.77251745070748</v>
      </c>
      <c r="AI41" s="13">
        <v>602.78599891669478</v>
      </c>
      <c r="AJ41" s="13">
        <v>625.58649618241998</v>
      </c>
      <c r="AK41" s="13">
        <v>617.63313654565025</v>
      </c>
      <c r="AL41" s="13">
        <v>634.14765600340286</v>
      </c>
      <c r="AM41" s="13">
        <v>583.45381666585627</v>
      </c>
      <c r="AN41" s="13">
        <v>619.52554963579894</v>
      </c>
      <c r="AO41" s="13">
        <v>636.95759878177751</v>
      </c>
      <c r="AP41" s="13">
        <v>666.53406002608415</v>
      </c>
      <c r="AQ41" s="13">
        <v>628.52395740514362</v>
      </c>
      <c r="AR41" s="13">
        <v>614.70355904209396</v>
      </c>
      <c r="AS41" s="13">
        <v>586.09822929154984</v>
      </c>
      <c r="AT41" s="13">
        <v>648.91088114458466</v>
      </c>
      <c r="AU41" s="13">
        <v>621.34966080213678</v>
      </c>
      <c r="AV41" s="13">
        <v>646.74862439775416</v>
      </c>
      <c r="AW41" s="13">
        <v>628.31661781634261</v>
      </c>
      <c r="AX41" s="51">
        <f t="shared" si="14"/>
        <v>654.89530890817127</v>
      </c>
      <c r="AY41" s="51">
        <f t="shared" si="15"/>
        <v>668.1846544540856</v>
      </c>
      <c r="AZ41" s="51">
        <f t="shared" si="2"/>
        <v>674.82932722704277</v>
      </c>
      <c r="BA41" s="31">
        <v>681.47400000000005</v>
      </c>
      <c r="BB41" s="13">
        <v>734.69130918985104</v>
      </c>
      <c r="BC41" s="13">
        <v>766.89087394038654</v>
      </c>
      <c r="BD41" s="13">
        <v>744.62164922083787</v>
      </c>
      <c r="BE41" s="13">
        <v>701.31417660000011</v>
      </c>
      <c r="BF41" s="13">
        <v>717.44271690000005</v>
      </c>
      <c r="BG41" s="13">
        <v>743.47614999999996</v>
      </c>
      <c r="BH41" s="13">
        <v>739.4401899999998</v>
      </c>
      <c r="BI41" s="13">
        <v>733.92967649999991</v>
      </c>
      <c r="BJ41" s="13">
        <v>745.83900000000006</v>
      </c>
      <c r="BK41" s="42">
        <v>694.15700000000004</v>
      </c>
      <c r="BL41" s="42">
        <v>735.18499999999995</v>
      </c>
      <c r="BM41" s="42">
        <v>763.34400000000005</v>
      </c>
      <c r="BN41" s="42">
        <v>806.05536386299252</v>
      </c>
      <c r="BO41" s="42">
        <v>805.99300000000005</v>
      </c>
      <c r="BP41" s="42">
        <v>762.94299999999998</v>
      </c>
      <c r="BQ41" s="42">
        <v>711.71699999999998</v>
      </c>
      <c r="BR41" s="42">
        <v>778.04200000000003</v>
      </c>
      <c r="BS41" s="42">
        <v>846.45500000000004</v>
      </c>
      <c r="BT41" s="42">
        <v>854.57399999999996</v>
      </c>
      <c r="BU41" s="42">
        <v>791.89400000000001</v>
      </c>
      <c r="BV41" s="42">
        <v>867.24900000000002</v>
      </c>
      <c r="BW41" s="42">
        <v>804.75800000000004</v>
      </c>
      <c r="BX41" s="42">
        <v>842.93399999999997</v>
      </c>
      <c r="BY41" s="42">
        <v>915.46600000000001</v>
      </c>
      <c r="BZ41" s="42">
        <v>900.54100000000005</v>
      </c>
      <c r="CA41" s="42">
        <v>802.12599999999998</v>
      </c>
      <c r="CB41" s="42">
        <v>820.26599999999996</v>
      </c>
      <c r="CC41" s="42">
        <v>855.10500000000002</v>
      </c>
      <c r="CD41" s="42">
        <v>843.55399999999997</v>
      </c>
      <c r="CE41" s="42">
        <v>873.74599999999998</v>
      </c>
      <c r="CF41" s="42">
        <v>954.90200000000004</v>
      </c>
      <c r="CG41" s="42">
        <v>911.78399999999999</v>
      </c>
      <c r="CH41" s="42">
        <v>920.96199999999999</v>
      </c>
      <c r="CI41" s="42">
        <v>951.12800000000004</v>
      </c>
      <c r="CJ41" s="42">
        <v>909.66200000000003</v>
      </c>
    </row>
    <row r="42" spans="1:88" ht="20.149999999999999" customHeight="1" x14ac:dyDescent="0.25">
      <c r="A42" s="12" t="s">
        <v>69</v>
      </c>
      <c r="B42" s="42">
        <v>686.87303355412382</v>
      </c>
      <c r="C42" s="42">
        <v>656.8118473258321</v>
      </c>
      <c r="D42" s="42">
        <v>649.12469360787043</v>
      </c>
      <c r="E42" s="42">
        <v>695.08364483297078</v>
      </c>
      <c r="F42" s="42">
        <v>692.13124068640343</v>
      </c>
      <c r="G42" s="42">
        <v>719.06907192710355</v>
      </c>
      <c r="H42" s="42">
        <v>726.34693614881235</v>
      </c>
      <c r="I42" s="42">
        <v>729.71464228129253</v>
      </c>
      <c r="J42" s="42">
        <v>740.94416683067243</v>
      </c>
      <c r="K42" s="42">
        <v>761.39574571267269</v>
      </c>
      <c r="L42" s="13">
        <v>777.64727079860177</v>
      </c>
      <c r="M42" s="13">
        <v>764.30994346151726</v>
      </c>
      <c r="N42" s="13">
        <v>786.64657388174794</v>
      </c>
      <c r="O42" s="13">
        <v>818.4828514307975</v>
      </c>
      <c r="P42" s="13">
        <v>805.86886182390651</v>
      </c>
      <c r="Q42" s="13">
        <v>806.49533847122018</v>
      </c>
      <c r="R42" s="48">
        <f t="shared" si="5"/>
        <v>804.04503504202148</v>
      </c>
      <c r="S42" s="7">
        <v>801.59473161282278</v>
      </c>
      <c r="T42" s="13">
        <v>809.54091598543562</v>
      </c>
      <c r="U42" s="13">
        <v>786.11119255438393</v>
      </c>
      <c r="V42" s="13">
        <v>815.98965845275347</v>
      </c>
      <c r="W42" s="13">
        <v>767.63827218882079</v>
      </c>
      <c r="X42" s="13">
        <v>821.90314569449095</v>
      </c>
      <c r="Y42" s="13">
        <v>826.89657018255718</v>
      </c>
      <c r="Z42" s="13">
        <v>827.23026011651757</v>
      </c>
      <c r="AA42" s="13">
        <v>781.8700275827614</v>
      </c>
      <c r="AB42" s="13">
        <v>768.25301523416977</v>
      </c>
      <c r="AC42" s="13">
        <v>829.43799658036698</v>
      </c>
      <c r="AD42" s="13">
        <v>874.90527482831715</v>
      </c>
      <c r="AE42" s="13">
        <v>764.77538312693707</v>
      </c>
      <c r="AF42" s="13">
        <v>743.87867732139068</v>
      </c>
      <c r="AG42" s="13">
        <v>816.09264976766735</v>
      </c>
      <c r="AH42" s="13">
        <v>848.96968331207506</v>
      </c>
      <c r="AI42" s="13">
        <v>821.93239648811641</v>
      </c>
      <c r="AJ42" s="13">
        <v>798.21552812976324</v>
      </c>
      <c r="AK42" s="13">
        <v>849.37948838152658</v>
      </c>
      <c r="AL42" s="13">
        <v>875.06400168845857</v>
      </c>
      <c r="AM42" s="13">
        <v>816.89375524997581</v>
      </c>
      <c r="AN42" s="13">
        <v>779.60480386654524</v>
      </c>
      <c r="AO42" s="13">
        <v>845.95997200273735</v>
      </c>
      <c r="AP42" s="13">
        <v>823.72762207396909</v>
      </c>
      <c r="AQ42" s="13">
        <v>838.08417258747795</v>
      </c>
      <c r="AR42" s="13">
        <v>775.08537557673651</v>
      </c>
      <c r="AS42" s="13">
        <v>817.26378652305948</v>
      </c>
      <c r="AT42" s="13">
        <v>835.69698866222791</v>
      </c>
      <c r="AU42" s="13">
        <v>803.26217972307722</v>
      </c>
      <c r="AV42" s="13">
        <v>797.62965843443953</v>
      </c>
      <c r="AW42" s="13">
        <v>830.54122892577129</v>
      </c>
      <c r="AX42" s="51">
        <f t="shared" si="14"/>
        <v>854.01161446288563</v>
      </c>
      <c r="AY42" s="51">
        <f t="shared" si="15"/>
        <v>865.74680723144274</v>
      </c>
      <c r="AZ42" s="51">
        <f t="shared" si="2"/>
        <v>871.61440361572136</v>
      </c>
      <c r="BA42" s="31">
        <v>877.48199999999997</v>
      </c>
      <c r="BB42" s="13">
        <v>894.48627174584772</v>
      </c>
      <c r="BC42" s="13">
        <v>900.2966398124496</v>
      </c>
      <c r="BD42" s="13">
        <v>832.94225863200506</v>
      </c>
      <c r="BE42" s="13">
        <v>844.09281400000009</v>
      </c>
      <c r="BF42" s="13">
        <v>912.48797640000009</v>
      </c>
      <c r="BG42" s="13">
        <v>895.59830999999974</v>
      </c>
      <c r="BH42" s="13">
        <v>865.06196999999997</v>
      </c>
      <c r="BI42" s="13">
        <v>867.73839680000003</v>
      </c>
      <c r="BJ42" s="13">
        <v>906.80899999999997</v>
      </c>
      <c r="BK42" s="42">
        <v>924.77499999999998</v>
      </c>
      <c r="BL42" s="42">
        <v>956.03</v>
      </c>
      <c r="BM42" s="42">
        <v>940.09699999999998</v>
      </c>
      <c r="BN42" s="42">
        <v>890.49132506722492</v>
      </c>
      <c r="BO42" s="42">
        <v>930.85500000000002</v>
      </c>
      <c r="BP42" s="42">
        <v>926.52200000000005</v>
      </c>
      <c r="BQ42" s="42">
        <v>582.93899999999996</v>
      </c>
      <c r="BR42" s="42">
        <v>668.48800000000006</v>
      </c>
      <c r="BS42" s="42">
        <v>729.88</v>
      </c>
      <c r="BT42" s="42">
        <v>643.80600000000004</v>
      </c>
      <c r="BU42" s="42">
        <v>700.91600000000005</v>
      </c>
      <c r="BV42" s="42">
        <v>777.74400000000003</v>
      </c>
      <c r="BW42" s="42">
        <v>694.875</v>
      </c>
      <c r="BX42" s="42">
        <v>753.56</v>
      </c>
      <c r="BY42" s="42">
        <v>851.61</v>
      </c>
      <c r="BZ42" s="42">
        <v>866.14499999999998</v>
      </c>
      <c r="CA42" s="42">
        <v>817.98699999999997</v>
      </c>
      <c r="CB42" s="42">
        <v>889.61</v>
      </c>
      <c r="CC42" s="42">
        <v>831.40899999999999</v>
      </c>
      <c r="CD42" s="42">
        <v>813.15</v>
      </c>
      <c r="CE42" s="42">
        <v>865.74199999999996</v>
      </c>
      <c r="CF42" s="42">
        <v>818.447</v>
      </c>
      <c r="CG42" s="42">
        <v>869.24699999999996</v>
      </c>
      <c r="CH42" s="42">
        <v>803.22699999999998</v>
      </c>
      <c r="CI42" s="42">
        <v>859.95299999999997</v>
      </c>
      <c r="CJ42" s="42">
        <v>808.28800000000001</v>
      </c>
    </row>
    <row r="43" spans="1:88" ht="20.149999999999999" customHeight="1" x14ac:dyDescent="0.25">
      <c r="A43" s="27" t="s">
        <v>131</v>
      </c>
      <c r="B43" s="42">
        <v>1266.0377323075822</v>
      </c>
      <c r="C43" s="42">
        <v>1337.0986817683045</v>
      </c>
      <c r="D43" s="42">
        <v>1349.3184159555537</v>
      </c>
      <c r="E43" s="42">
        <v>1375.4097053863327</v>
      </c>
      <c r="F43" s="42">
        <v>1338.0470586482909</v>
      </c>
      <c r="G43" s="42">
        <v>1332.2044987527438</v>
      </c>
      <c r="H43" s="42">
        <v>1299.9317109822009</v>
      </c>
      <c r="I43" s="42">
        <v>1403.3847616471573</v>
      </c>
      <c r="J43" s="42">
        <v>1357.9321764259023</v>
      </c>
      <c r="K43" s="42">
        <v>1345.7309057661669</v>
      </c>
      <c r="L43" s="13">
        <v>1373.1338813023335</v>
      </c>
      <c r="M43" s="13">
        <v>1399.5835942457945</v>
      </c>
      <c r="N43" s="13">
        <v>1309.8731365192511</v>
      </c>
      <c r="O43" s="13">
        <v>1338.0625598618976</v>
      </c>
      <c r="P43" s="13">
        <v>1364.3650166963375</v>
      </c>
      <c r="Q43" s="13">
        <v>1386.4056171327093</v>
      </c>
      <c r="R43" s="48">
        <f t="shared" si="5"/>
        <v>1370.1364055283398</v>
      </c>
      <c r="S43" s="7">
        <v>1353.8671939239703</v>
      </c>
      <c r="T43" s="13">
        <v>1359.9794297287172</v>
      </c>
      <c r="U43" s="13">
        <v>1316.4922751948941</v>
      </c>
      <c r="V43" s="13">
        <v>1375.6073730720934</v>
      </c>
      <c r="W43" s="13">
        <v>1354.5434038476335</v>
      </c>
      <c r="X43" s="13">
        <v>1380.2486830568723</v>
      </c>
      <c r="Y43" s="13">
        <v>1377.1945680320102</v>
      </c>
      <c r="Z43" s="13">
        <v>1445.9428845504121</v>
      </c>
      <c r="AA43" s="13">
        <v>1503.5963636572133</v>
      </c>
      <c r="AB43" s="13">
        <v>1451.0591776297285</v>
      </c>
      <c r="AC43" s="13">
        <v>1442.1834485149352</v>
      </c>
      <c r="AD43" s="13">
        <v>1418.0037061813873</v>
      </c>
      <c r="AE43" s="13">
        <v>1523.0500599973252</v>
      </c>
      <c r="AF43" s="13">
        <v>1538.071789952262</v>
      </c>
      <c r="AG43" s="13">
        <v>1490.2965733518565</v>
      </c>
      <c r="AH43" s="13">
        <v>1521.5925942599069</v>
      </c>
      <c r="AI43" s="13">
        <v>1525.7998149521934</v>
      </c>
      <c r="AJ43" s="13">
        <v>1552.3795923033049</v>
      </c>
      <c r="AK43" s="13">
        <v>1612.1777270122259</v>
      </c>
      <c r="AL43" s="13">
        <v>1576.0017922901468</v>
      </c>
      <c r="AM43" s="13">
        <v>1535.2317965546847</v>
      </c>
      <c r="AN43" s="13">
        <v>1523.6988367390236</v>
      </c>
      <c r="AO43" s="13">
        <v>1585.3150391120791</v>
      </c>
      <c r="AP43" s="13">
        <v>1668.6655949108449</v>
      </c>
      <c r="AQ43" s="13">
        <v>1687.5913176986955</v>
      </c>
      <c r="AR43" s="13">
        <v>1657.8129427091264</v>
      </c>
      <c r="AS43" s="13">
        <v>1693.4389689586512</v>
      </c>
      <c r="AT43" s="13">
        <v>1595.5610558314991</v>
      </c>
      <c r="AU43" s="13">
        <v>1719.2845225469855</v>
      </c>
      <c r="AV43" s="13">
        <v>1684.7912437150796</v>
      </c>
      <c r="AW43" s="13">
        <v>1684.4104057119516</v>
      </c>
      <c r="AX43" s="51">
        <f t="shared" si="14"/>
        <v>1613.9277028559759</v>
      </c>
      <c r="AY43" s="51">
        <f t="shared" si="15"/>
        <v>1578.686351427988</v>
      </c>
      <c r="AZ43" s="51">
        <f t="shared" si="2"/>
        <v>1561.0656757139941</v>
      </c>
      <c r="BA43" s="31">
        <v>1543.4449999999999</v>
      </c>
      <c r="BB43" s="13">
        <v>1591.4801897805507</v>
      </c>
      <c r="BC43" s="13">
        <v>1599.0384841406974</v>
      </c>
      <c r="BD43" s="13">
        <v>1549.6503461774305</v>
      </c>
      <c r="BE43" s="13">
        <v>1567.1353824000003</v>
      </c>
      <c r="BF43" s="13">
        <v>1652.8842057000002</v>
      </c>
      <c r="BG43" s="13">
        <v>1790.9229099999998</v>
      </c>
      <c r="BH43" s="13">
        <v>1681.9014899999997</v>
      </c>
      <c r="BI43" s="13">
        <v>1596.9276027000001</v>
      </c>
      <c r="BJ43" s="13">
        <v>1575.0340000000001</v>
      </c>
      <c r="BK43" s="42">
        <v>1746.634</v>
      </c>
      <c r="BL43" s="42">
        <v>1720.1690000000001</v>
      </c>
      <c r="BM43" s="42">
        <v>1608.7560000000001</v>
      </c>
      <c r="BN43" s="42">
        <v>1618.4983205705344</v>
      </c>
      <c r="BO43" s="42">
        <v>1769.66</v>
      </c>
      <c r="BP43" s="42">
        <v>1836.633</v>
      </c>
      <c r="BQ43" s="42">
        <v>1438.1969999999999</v>
      </c>
      <c r="BR43" s="42">
        <v>1508.97</v>
      </c>
      <c r="BS43" s="42">
        <v>1634.913</v>
      </c>
      <c r="BT43" s="42">
        <v>1869.325</v>
      </c>
      <c r="BU43" s="42">
        <v>1855.962</v>
      </c>
      <c r="BV43" s="42">
        <v>1927.47</v>
      </c>
      <c r="BW43" s="42">
        <v>1910.441</v>
      </c>
      <c r="BX43" s="42">
        <v>1834.7670000000001</v>
      </c>
      <c r="BY43" s="42">
        <v>1897.99</v>
      </c>
      <c r="BZ43" s="42">
        <v>1901.7</v>
      </c>
      <c r="CA43" s="42">
        <v>1918.057</v>
      </c>
      <c r="CB43" s="42">
        <v>1956.1579999999999</v>
      </c>
      <c r="CC43" s="42">
        <v>1936.5820000000001</v>
      </c>
      <c r="CD43" s="42">
        <v>1925.366</v>
      </c>
      <c r="CE43" s="42">
        <v>1855.405</v>
      </c>
      <c r="CF43" s="42">
        <v>1756.4839999999999</v>
      </c>
      <c r="CG43" s="42">
        <v>1843.241</v>
      </c>
      <c r="CH43" s="42">
        <v>1870.095</v>
      </c>
      <c r="CI43" s="42">
        <v>1850.2470000000001</v>
      </c>
      <c r="CJ43" s="42">
        <v>1803.7249999999999</v>
      </c>
    </row>
    <row r="44" spans="1:88" ht="20.149999999999999" customHeight="1" x14ac:dyDescent="0.25">
      <c r="A44" s="12" t="s">
        <v>37</v>
      </c>
      <c r="B44" s="42">
        <v>60.811166277417371</v>
      </c>
      <c r="C44" s="42">
        <v>47.269071460752812</v>
      </c>
      <c r="D44" s="42">
        <v>43.301477958497863</v>
      </c>
      <c r="E44" s="42">
        <v>49.872001841162408</v>
      </c>
      <c r="F44" s="42">
        <v>43.2220083293345</v>
      </c>
      <c r="G44" s="42">
        <v>45.975844892935001</v>
      </c>
      <c r="H44" s="42">
        <v>51.371780423625559</v>
      </c>
      <c r="I44" s="42">
        <v>41.023185268816277</v>
      </c>
      <c r="J44" s="42">
        <v>52.986114646564239</v>
      </c>
      <c r="K44" s="42">
        <v>54.601412168521591</v>
      </c>
      <c r="L44" s="13">
        <v>49.995573455999164</v>
      </c>
      <c r="M44" s="13">
        <v>47.72375821776366</v>
      </c>
      <c r="N44" s="13">
        <v>45.763085435320029</v>
      </c>
      <c r="O44" s="13">
        <v>46.837029259695385</v>
      </c>
      <c r="P44" s="13">
        <v>56.635508678434228</v>
      </c>
      <c r="Q44" s="13">
        <v>51.370064782086295</v>
      </c>
      <c r="R44" s="48">
        <f t="shared" si="5"/>
        <v>55.683234636096209</v>
      </c>
      <c r="S44" s="7">
        <v>59.996404490106123</v>
      </c>
      <c r="T44" s="13">
        <v>58.118969983195065</v>
      </c>
      <c r="U44" s="13">
        <v>60.145157109398909</v>
      </c>
      <c r="V44" s="13">
        <v>65.423202885579499</v>
      </c>
      <c r="W44" s="13">
        <v>63.712993947884314</v>
      </c>
      <c r="X44" s="13">
        <v>61.384891902160795</v>
      </c>
      <c r="Y44" s="13">
        <v>57.442020326785503</v>
      </c>
      <c r="Z44" s="13">
        <v>53.829297551800543</v>
      </c>
      <c r="AA44" s="13">
        <v>50.650805174314016</v>
      </c>
      <c r="AB44" s="13">
        <v>51.371620542172529</v>
      </c>
      <c r="AC44" s="13">
        <v>56.301143060987087</v>
      </c>
      <c r="AD44" s="13">
        <v>66.201225032156756</v>
      </c>
      <c r="AE44" s="13">
        <v>54.844087359690121</v>
      </c>
      <c r="AF44" s="13">
        <v>70.400520082630962</v>
      </c>
      <c r="AG44" s="13">
        <v>75.006894812552986</v>
      </c>
      <c r="AH44" s="13">
        <v>66.09090267805297</v>
      </c>
      <c r="AI44" s="13">
        <v>69.992784861562484</v>
      </c>
      <c r="AJ44" s="13">
        <v>108.55146556868937</v>
      </c>
      <c r="AK44" s="13">
        <v>104.37048081714245</v>
      </c>
      <c r="AL44" s="13">
        <v>97.227849250056664</v>
      </c>
      <c r="AM44" s="13">
        <v>107.10257043551179</v>
      </c>
      <c r="AN44" s="13">
        <v>109.77499052966587</v>
      </c>
      <c r="AO44" s="13">
        <v>124.79585028115832</v>
      </c>
      <c r="AP44" s="13">
        <v>134.20596326718191</v>
      </c>
      <c r="AQ44" s="13">
        <v>148.74486703153937</v>
      </c>
      <c r="AR44" s="13">
        <v>163.64642446428073</v>
      </c>
      <c r="AS44" s="13">
        <v>154.93199344282783</v>
      </c>
      <c r="AT44" s="13">
        <v>125.08344450294894</v>
      </c>
      <c r="AU44" s="13">
        <v>134.29666321025664</v>
      </c>
      <c r="AV44" s="13">
        <v>155.16446959946117</v>
      </c>
      <c r="AW44" s="13">
        <v>127.84412322160705</v>
      </c>
      <c r="AX44" s="51">
        <f t="shared" si="14"/>
        <v>122.58356161080351</v>
      </c>
      <c r="AY44" s="51">
        <f t="shared" si="15"/>
        <v>119.95328080540176</v>
      </c>
      <c r="AZ44" s="51">
        <f t="shared" si="2"/>
        <v>118.63814040270088</v>
      </c>
      <c r="BA44" s="31">
        <v>117.32299999999999</v>
      </c>
      <c r="BB44" s="13">
        <v>125.52607889665127</v>
      </c>
      <c r="BC44" s="13">
        <v>112.56769294853116</v>
      </c>
      <c r="BD44" s="13">
        <v>102.64412817454999</v>
      </c>
      <c r="BE44" s="13">
        <v>96.548854800000015</v>
      </c>
      <c r="BF44" s="13">
        <v>113.9362497</v>
      </c>
      <c r="BG44" s="13">
        <v>115.59146999999999</v>
      </c>
      <c r="BH44" s="13">
        <v>112.2817</v>
      </c>
      <c r="BI44" s="13">
        <v>111.23341569999998</v>
      </c>
      <c r="BJ44" s="13">
        <v>116.553</v>
      </c>
      <c r="BK44" s="42">
        <v>98.73</v>
      </c>
      <c r="BL44" s="42">
        <v>96.52</v>
      </c>
      <c r="BM44" s="42">
        <v>113.19</v>
      </c>
      <c r="BN44" s="42">
        <v>100.73320166115185</v>
      </c>
      <c r="BO44" s="42">
        <v>88.929000000000002</v>
      </c>
      <c r="BP44" s="42">
        <v>123.27800000000001</v>
      </c>
      <c r="BQ44" s="42">
        <v>144.322</v>
      </c>
      <c r="BR44" s="42">
        <v>88.935000000000002</v>
      </c>
      <c r="BS44" s="42">
        <v>64.581000000000003</v>
      </c>
      <c r="BT44" s="42">
        <v>136.81299999999999</v>
      </c>
      <c r="BU44" s="42">
        <v>199.441</v>
      </c>
      <c r="BV44" s="42">
        <v>161.40299999999999</v>
      </c>
      <c r="BW44" s="42">
        <v>100.005</v>
      </c>
      <c r="BX44" s="42">
        <v>126.01600000000001</v>
      </c>
      <c r="BY44" s="42">
        <v>100.508</v>
      </c>
      <c r="BZ44" s="42">
        <v>148.05600000000001</v>
      </c>
      <c r="CA44" s="42">
        <v>144.79499999999999</v>
      </c>
      <c r="CB44" s="42">
        <v>148.22300000000001</v>
      </c>
      <c r="CC44" s="42">
        <v>149.898</v>
      </c>
      <c r="CD44" s="42">
        <v>145.637</v>
      </c>
      <c r="CE44" s="42">
        <v>129.614</v>
      </c>
      <c r="CF44" s="42">
        <v>161.63300000000001</v>
      </c>
      <c r="CG44" s="42">
        <v>165.17400000000001</v>
      </c>
      <c r="CH44" s="42">
        <v>129.86600000000001</v>
      </c>
      <c r="CI44" s="42">
        <v>137.52500000000001</v>
      </c>
      <c r="CJ44" s="42">
        <v>113.837</v>
      </c>
    </row>
    <row r="45" spans="1:88" ht="20.149999999999999" customHeight="1" x14ac:dyDescent="0.25">
      <c r="A45" s="12" t="s">
        <v>38</v>
      </c>
      <c r="B45" s="42">
        <v>33.302005717251205</v>
      </c>
      <c r="C45" s="42">
        <v>24.181269196556158</v>
      </c>
      <c r="D45" s="42">
        <v>26.475342566229656</v>
      </c>
      <c r="E45" s="42">
        <v>20.124718959665604</v>
      </c>
      <c r="F45" s="42">
        <v>9.9314882913699734</v>
      </c>
      <c r="G45" s="42">
        <v>34.670677314937713</v>
      </c>
      <c r="H45" s="42">
        <v>19.093737105566063</v>
      </c>
      <c r="I45" s="42">
        <v>15.858920733121895</v>
      </c>
      <c r="J45" s="42">
        <v>17.111249127453483</v>
      </c>
      <c r="K45" s="42">
        <v>25.94230151475379</v>
      </c>
      <c r="L45" s="13">
        <v>20.09322895684409</v>
      </c>
      <c r="M45" s="13">
        <v>9.6659086319188834</v>
      </c>
      <c r="N45" s="13">
        <v>21.267705702043614</v>
      </c>
      <c r="O45" s="13">
        <v>25.442374341963319</v>
      </c>
      <c r="P45" s="13">
        <v>18.929431982494194</v>
      </c>
      <c r="Q45" s="13">
        <v>37.004263435695776</v>
      </c>
      <c r="R45" s="48">
        <f t="shared" si="5"/>
        <v>45.522526486560039</v>
      </c>
      <c r="S45" s="7">
        <v>54.04078953742431</v>
      </c>
      <c r="T45" s="13">
        <v>63.085422603710242</v>
      </c>
      <c r="U45" s="13">
        <v>53.518083794573343</v>
      </c>
      <c r="V45" s="13">
        <v>82.345939673724189</v>
      </c>
      <c r="W45" s="13">
        <v>36.931113882303833</v>
      </c>
      <c r="X45" s="13">
        <v>28.159803930048703</v>
      </c>
      <c r="Y45" s="13">
        <v>34.663446198369492</v>
      </c>
      <c r="Z45" s="13">
        <v>68.344788612357576</v>
      </c>
      <c r="AA45" s="13">
        <v>82.24654653951319</v>
      </c>
      <c r="AB45" s="13">
        <v>55.577305125058793</v>
      </c>
      <c r="AC45" s="13">
        <v>47.038324597046184</v>
      </c>
      <c r="AD45" s="13">
        <v>54.715411046880291</v>
      </c>
      <c r="AE45" s="13">
        <v>72.873325985360097</v>
      </c>
      <c r="AF45" s="13">
        <v>58.799568391232491</v>
      </c>
      <c r="AG45" s="13">
        <v>61.987313658580717</v>
      </c>
      <c r="AH45" s="13">
        <v>65.713134789737538</v>
      </c>
      <c r="AI45" s="13">
        <v>64.113702897044817</v>
      </c>
      <c r="AJ45" s="13">
        <v>84.643275851577982</v>
      </c>
      <c r="AK45" s="13">
        <v>77.099006591844741</v>
      </c>
      <c r="AL45" s="13">
        <v>58.781237262074647</v>
      </c>
      <c r="AM45" s="13">
        <v>73.325467629339897</v>
      </c>
      <c r="AN45" s="13">
        <v>68.854604942590882</v>
      </c>
      <c r="AO45" s="13">
        <v>70.877297851678719</v>
      </c>
      <c r="AP45" s="13">
        <v>108.24802778774658</v>
      </c>
      <c r="AQ45" s="13">
        <v>118.35652461000764</v>
      </c>
      <c r="AR45" s="13">
        <v>82.982435833508958</v>
      </c>
      <c r="AS45" s="13">
        <v>75.227986653807307</v>
      </c>
      <c r="AT45" s="13">
        <v>87.935411738094487</v>
      </c>
      <c r="AU45" s="13">
        <v>75.791374571290234</v>
      </c>
      <c r="AV45" s="13">
        <v>90.170781553175232</v>
      </c>
      <c r="AW45" s="13">
        <v>90.348987865407793</v>
      </c>
      <c r="AX45" s="51">
        <f t="shared" si="14"/>
        <v>122.81649393270389</v>
      </c>
      <c r="AY45" s="51">
        <f t="shared" si="15"/>
        <v>139.05024696635195</v>
      </c>
      <c r="AZ45" s="51">
        <f t="shared" si="2"/>
        <v>147.16712348317597</v>
      </c>
      <c r="BA45" s="31">
        <v>155.28399999999999</v>
      </c>
      <c r="BB45" s="7">
        <v>184.56461367015348</v>
      </c>
      <c r="BC45" s="35">
        <v>131.02655605013959</v>
      </c>
      <c r="BD45" s="35">
        <v>243.76387028399239</v>
      </c>
      <c r="BE45" s="35">
        <v>156.68808120000003</v>
      </c>
      <c r="BF45" s="35">
        <v>180.04224420000003</v>
      </c>
      <c r="BG45" s="35">
        <v>158.49121999999997</v>
      </c>
      <c r="BH45" s="35">
        <v>202.43227999999996</v>
      </c>
      <c r="BI45" s="35">
        <v>222.16992079999997</v>
      </c>
      <c r="BJ45" s="35">
        <v>229.41800000000001</v>
      </c>
      <c r="BK45" s="35">
        <v>186.10499999999999</v>
      </c>
      <c r="BL45" s="35">
        <v>155.96199999999999</v>
      </c>
      <c r="BM45" s="35">
        <v>121.879</v>
      </c>
      <c r="BN45" s="35">
        <v>111.61899928407887</v>
      </c>
      <c r="BO45" s="35"/>
      <c r="BP45" s="35">
        <v>109.694</v>
      </c>
      <c r="BQ45" s="35">
        <v>111.5</v>
      </c>
      <c r="BR45" s="35">
        <v>129.54400000000001</v>
      </c>
      <c r="BS45" s="35">
        <v>142.28800000000001</v>
      </c>
      <c r="BT45" s="35">
        <v>138.214</v>
      </c>
      <c r="BU45" s="35">
        <v>160.00299999999999</v>
      </c>
      <c r="BV45" s="35">
        <v>227.66399999999999</v>
      </c>
      <c r="BW45" s="35">
        <v>133.41399999999999</v>
      </c>
      <c r="BX45" s="35">
        <v>215.98599999999999</v>
      </c>
      <c r="BY45" s="35">
        <v>202.29599999999999</v>
      </c>
      <c r="BZ45" s="35">
        <v>187.98400000000001</v>
      </c>
      <c r="CA45" s="35">
        <v>136.46100000000001</v>
      </c>
      <c r="CB45" s="35">
        <v>143.74799999999999</v>
      </c>
      <c r="CC45" s="35">
        <v>112.813</v>
      </c>
      <c r="CD45" s="35">
        <v>143.191</v>
      </c>
      <c r="CE45" s="35">
        <v>120.813</v>
      </c>
      <c r="CF45" s="35">
        <v>183.59</v>
      </c>
      <c r="CG45" s="35">
        <v>145.38800000000001</v>
      </c>
      <c r="CH45" s="35">
        <v>72.957999999999998</v>
      </c>
      <c r="CI45" s="35">
        <v>121.746</v>
      </c>
      <c r="CJ45" s="35">
        <v>105.735</v>
      </c>
    </row>
    <row r="46" spans="1:88" ht="20.149999999999999" customHeight="1" thickBot="1" x14ac:dyDescent="0.3">
      <c r="A46" s="14" t="s">
        <v>39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49"/>
      <c r="S46" s="14"/>
      <c r="T46" s="14"/>
      <c r="U46" s="14"/>
      <c r="V46" s="14"/>
      <c r="W46" s="14"/>
      <c r="X46" s="14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4"/>
      <c r="AY46" s="14"/>
      <c r="AZ46" s="14"/>
      <c r="BA46" s="33"/>
      <c r="BB46" s="15"/>
      <c r="BC46" s="15"/>
      <c r="BD46" s="15"/>
      <c r="BE46" s="15"/>
      <c r="BF46" s="15"/>
      <c r="BG46" s="15"/>
      <c r="BH46" s="15"/>
      <c r="BI46" s="15"/>
      <c r="BJ46" s="15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 spans="1:88" ht="20.149999999999999" customHeight="1" x14ac:dyDescent="0.25">
      <c r="A47" s="12" t="s">
        <v>40</v>
      </c>
      <c r="B47" s="42">
        <v>4292.4505376975831</v>
      </c>
      <c r="C47" s="42">
        <v>4428.0736087800797</v>
      </c>
      <c r="D47" s="42">
        <v>4394.6557751626897</v>
      </c>
      <c r="E47" s="42">
        <v>4453.1987887182668</v>
      </c>
      <c r="F47" s="42">
        <v>4555.4475602593484</v>
      </c>
      <c r="G47" s="42">
        <v>4583.0769732898161</v>
      </c>
      <c r="H47" s="42">
        <v>4514.3739017476737</v>
      </c>
      <c r="I47" s="42">
        <v>4508.0846316987863</v>
      </c>
      <c r="J47" s="42">
        <v>4652.2354339410731</v>
      </c>
      <c r="K47" s="42">
        <v>4607.3191601247745</v>
      </c>
      <c r="L47" s="13">
        <v>4453.0446536459813</v>
      </c>
      <c r="M47" s="13">
        <v>4705.8009791843051</v>
      </c>
      <c r="N47" s="13">
        <v>4617.2422368467487</v>
      </c>
      <c r="O47" s="13">
        <v>4701.2278721123803</v>
      </c>
      <c r="P47" s="13">
        <v>4646.7273082573683</v>
      </c>
      <c r="Q47" s="13">
        <v>4598.3683946632236</v>
      </c>
      <c r="R47" s="48">
        <f t="shared" si="5"/>
        <v>4615.984350728093</v>
      </c>
      <c r="S47" s="7">
        <v>4633.6003067929632</v>
      </c>
      <c r="T47" s="13">
        <v>4509.3694031473469</v>
      </c>
      <c r="U47" s="13">
        <v>4650.7913259034567</v>
      </c>
      <c r="V47" s="13">
        <v>4682.3524076769563</v>
      </c>
      <c r="W47" s="13">
        <v>4662.8229728261131</v>
      </c>
      <c r="X47" s="13">
        <v>4720.4783413772666</v>
      </c>
      <c r="Y47" s="13">
        <v>4773.9515148731025</v>
      </c>
      <c r="Z47" s="13">
        <v>4753.7734304229189</v>
      </c>
      <c r="AA47" s="13">
        <v>4899.4869179933457</v>
      </c>
      <c r="AB47" s="13">
        <v>4741.9063048125672</v>
      </c>
      <c r="AC47" s="13">
        <v>4795.5035136756651</v>
      </c>
      <c r="AD47" s="13">
        <v>4829.2393935894615</v>
      </c>
      <c r="AE47" s="13">
        <v>4622.4406394412963</v>
      </c>
      <c r="AF47" s="13">
        <v>4685.7809974234569</v>
      </c>
      <c r="AG47" s="13">
        <v>4889.2869144039678</v>
      </c>
      <c r="AH47" s="13">
        <v>4779.2123865574613</v>
      </c>
      <c r="AI47" s="13">
        <v>4692.1908548117053</v>
      </c>
      <c r="AJ47" s="13">
        <v>4626.2208346511798</v>
      </c>
      <c r="AK47" s="13">
        <v>4819.0750367516675</v>
      </c>
      <c r="AL47" s="13">
        <v>4934.4631180812212</v>
      </c>
      <c r="AM47" s="13">
        <v>4868.8163981581056</v>
      </c>
      <c r="AN47" s="13">
        <v>4756.3722036178806</v>
      </c>
      <c r="AO47" s="13">
        <v>5057.6380301778181</v>
      </c>
      <c r="AP47" s="13">
        <v>4956.7085987058999</v>
      </c>
      <c r="AQ47" s="13">
        <v>4903.1748711466471</v>
      </c>
      <c r="AR47" s="13">
        <v>4713.2193838131961</v>
      </c>
      <c r="AS47" s="13">
        <v>4775.1893485468927</v>
      </c>
      <c r="AT47" s="13">
        <v>4824.9452705534404</v>
      </c>
      <c r="AU47" s="13">
        <v>4928.5935980516188</v>
      </c>
      <c r="AV47" s="13">
        <v>4649.0419821699024</v>
      </c>
      <c r="AW47" s="13">
        <v>4694.5367337542029</v>
      </c>
      <c r="AX47" s="51">
        <f t="shared" ref="AX47:AX50" si="16">+(AW47+BA47)/2</f>
        <v>4844.5310970003256</v>
      </c>
      <c r="AY47" s="51">
        <f t="shared" ref="AY47:AY50" si="17">+(AX47+BA47)/2</f>
        <v>4919.5282786233875</v>
      </c>
      <c r="AZ47" s="51">
        <f t="shared" si="2"/>
        <v>4957.0268694349179</v>
      </c>
      <c r="BA47" s="31">
        <v>4994.5254602464483</v>
      </c>
      <c r="BB47" s="13">
        <v>5094.2672921968615</v>
      </c>
      <c r="BC47" s="13">
        <v>5015.3935325967586</v>
      </c>
      <c r="BD47" s="13">
        <v>5024.4228911393329</v>
      </c>
      <c r="BE47" s="13">
        <v>4963.8692398000003</v>
      </c>
      <c r="BF47" s="13">
        <v>5215.2836735999999</v>
      </c>
      <c r="BG47" s="13">
        <v>5325.523221571787</v>
      </c>
      <c r="BH47" s="13">
        <v>5144.5036799999998</v>
      </c>
      <c r="BI47" s="13">
        <v>5290.0359621999996</v>
      </c>
      <c r="BJ47" s="13">
        <v>5341.2529999999997</v>
      </c>
      <c r="BK47" s="42">
        <v>5348.8450000000003</v>
      </c>
      <c r="BL47" s="42">
        <v>5329.9549999999999</v>
      </c>
      <c r="BM47" s="42">
        <v>5501.24</v>
      </c>
      <c r="BN47" s="42">
        <v>5613.872196108854</v>
      </c>
      <c r="BO47" s="42">
        <v>5666.1189999999997</v>
      </c>
      <c r="BP47" s="42">
        <v>5491.6189999999997</v>
      </c>
      <c r="BQ47" s="42">
        <v>3720.5830000000001</v>
      </c>
      <c r="BR47" s="42">
        <v>4838.66</v>
      </c>
      <c r="BS47" s="42">
        <v>5504.1989999999996</v>
      </c>
      <c r="BT47" s="42">
        <v>5376.8</v>
      </c>
      <c r="BU47" s="42">
        <v>5268.0230000000001</v>
      </c>
      <c r="BV47" s="42">
        <v>5482.0259999999998</v>
      </c>
      <c r="BW47" s="42">
        <v>5513.7340000000004</v>
      </c>
      <c r="BX47" s="42">
        <v>5597.8940000000002</v>
      </c>
      <c r="BY47" s="42">
        <v>5765.0609999999997</v>
      </c>
      <c r="BZ47" s="42">
        <v>5678.3630000000003</v>
      </c>
      <c r="CA47" s="42">
        <v>5516.6210000000001</v>
      </c>
      <c r="CB47" s="42">
        <v>5659.9129999999996</v>
      </c>
      <c r="CC47" s="42">
        <v>5761.2560000000003</v>
      </c>
      <c r="CD47" s="42">
        <v>5764.4830000000002</v>
      </c>
      <c r="CE47" s="42">
        <v>6012.7920000000004</v>
      </c>
      <c r="CF47" s="42">
        <v>5655.3810000000003</v>
      </c>
      <c r="CG47" s="42">
        <v>5913.4210000000003</v>
      </c>
      <c r="CH47" s="42">
        <v>6148.9650000000001</v>
      </c>
      <c r="CI47" s="42">
        <v>6185.4080000000004</v>
      </c>
      <c r="CJ47" s="42">
        <v>5979.1120000000001</v>
      </c>
    </row>
    <row r="48" spans="1:88" ht="20.149999999999999" customHeight="1" x14ac:dyDescent="0.25">
      <c r="A48" s="12" t="s">
        <v>41</v>
      </c>
      <c r="B48" s="42">
        <v>2186.5294586507507</v>
      </c>
      <c r="C48" s="42">
        <v>2112.4815711637552</v>
      </c>
      <c r="D48" s="42">
        <v>2273.7037207872531</v>
      </c>
      <c r="E48" s="42">
        <v>2264.7394424724939</v>
      </c>
      <c r="F48" s="42">
        <v>2220.3906165086137</v>
      </c>
      <c r="G48" s="42">
        <v>2381.5287635326999</v>
      </c>
      <c r="H48" s="42">
        <v>2212.6045771300251</v>
      </c>
      <c r="I48" s="42">
        <v>2306.7681711452205</v>
      </c>
      <c r="J48" s="42">
        <v>2378.7017249266469</v>
      </c>
      <c r="K48" s="42">
        <v>2485.3109894570343</v>
      </c>
      <c r="L48" s="13">
        <v>2496.0554674954928</v>
      </c>
      <c r="M48" s="13">
        <v>2473.6300459435101</v>
      </c>
      <c r="N48" s="13">
        <v>2498.1308280481658</v>
      </c>
      <c r="O48" s="13">
        <v>2542.1185006146816</v>
      </c>
      <c r="P48" s="13">
        <v>2625.4306619727049</v>
      </c>
      <c r="Q48" s="13">
        <v>2601.744717422363</v>
      </c>
      <c r="R48" s="48">
        <f t="shared" si="5"/>
        <v>2497.7876438106186</v>
      </c>
      <c r="S48" s="7">
        <v>2393.8305701988738</v>
      </c>
      <c r="T48" s="13">
        <v>2527.173983415616</v>
      </c>
      <c r="U48" s="13">
        <v>2484.3210633652216</v>
      </c>
      <c r="V48" s="13">
        <v>2450.7904475040746</v>
      </c>
      <c r="W48" s="13">
        <v>2724.3875388410561</v>
      </c>
      <c r="X48" s="13">
        <v>2612.7319270807561</v>
      </c>
      <c r="Y48" s="13">
        <v>2496.7562402714484</v>
      </c>
      <c r="Z48" s="13">
        <v>2527.5220993463117</v>
      </c>
      <c r="AA48" s="13">
        <v>2522.4033723641992</v>
      </c>
      <c r="AB48" s="13">
        <v>2641.7354397173553</v>
      </c>
      <c r="AC48" s="13">
        <v>2603.1737558813052</v>
      </c>
      <c r="AD48" s="13">
        <v>2631.0030973724997</v>
      </c>
      <c r="AE48" s="13">
        <v>2704.1067541008051</v>
      </c>
      <c r="AF48" s="13">
        <v>2755.9476977606873</v>
      </c>
      <c r="AG48" s="13">
        <v>2672.7214210318111</v>
      </c>
      <c r="AH48" s="13">
        <v>2799.4530425341327</v>
      </c>
      <c r="AI48" s="13">
        <v>2768.4636992592241</v>
      </c>
      <c r="AJ48" s="13">
        <v>2660.5320485370094</v>
      </c>
      <c r="AK48" s="13">
        <v>2647.292786826446</v>
      </c>
      <c r="AL48" s="13">
        <v>2638.6871101098277</v>
      </c>
      <c r="AM48" s="13">
        <v>2654.5553128535339</v>
      </c>
      <c r="AN48" s="13">
        <v>2562.2490111381371</v>
      </c>
      <c r="AO48" s="13">
        <v>2524.1709173963645</v>
      </c>
      <c r="AP48" s="13">
        <v>2603.9655861577648</v>
      </c>
      <c r="AQ48" s="13">
        <v>2484.3688332523452</v>
      </c>
      <c r="AR48" s="13">
        <v>2587.7940182471298</v>
      </c>
      <c r="AS48" s="13">
        <v>2484.742039011644</v>
      </c>
      <c r="AT48" s="13">
        <v>2476.0913589365982</v>
      </c>
      <c r="AU48" s="13">
        <v>2558.1143764184144</v>
      </c>
      <c r="AV48" s="13">
        <v>2588.234096363105</v>
      </c>
      <c r="AW48" s="13">
        <v>2548.9452748583803</v>
      </c>
      <c r="AX48" s="51">
        <f t="shared" si="16"/>
        <v>2652.6324205808951</v>
      </c>
      <c r="AY48" s="51">
        <f t="shared" si="17"/>
        <v>2704.4759934421527</v>
      </c>
      <c r="AZ48" s="51">
        <f t="shared" si="2"/>
        <v>2730.3977798727815</v>
      </c>
      <c r="BA48" s="31">
        <v>2756.3195663034103</v>
      </c>
      <c r="BB48" s="13">
        <v>2619.009350835925</v>
      </c>
      <c r="BC48" s="13">
        <v>2663.1383059975237</v>
      </c>
      <c r="BD48" s="13">
        <v>2556.3393761687075</v>
      </c>
      <c r="BE48" s="13">
        <v>2777.6772362000002</v>
      </c>
      <c r="BF48" s="13">
        <v>2849.6769482999998</v>
      </c>
      <c r="BG48" s="13">
        <v>2871.8095325542549</v>
      </c>
      <c r="BH48" s="13">
        <v>2731.1591800000001</v>
      </c>
      <c r="BI48" s="13">
        <v>2756.7068617</v>
      </c>
      <c r="BJ48" s="13">
        <v>2725.087</v>
      </c>
      <c r="BK48" s="42">
        <v>2629.58</v>
      </c>
      <c r="BL48" s="42">
        <v>2708.15</v>
      </c>
      <c r="BM48" s="42">
        <v>2745.107</v>
      </c>
      <c r="BN48" s="42">
        <v>2635.7501318839295</v>
      </c>
      <c r="BO48" s="42">
        <v>2622.6060000000002</v>
      </c>
      <c r="BP48" s="42">
        <v>2568.1179999999999</v>
      </c>
      <c r="BQ48" s="42">
        <v>2040.2070000000001</v>
      </c>
      <c r="BR48" s="42">
        <v>2217.7660000000001</v>
      </c>
      <c r="BS48" s="42">
        <v>2302.7759999999998</v>
      </c>
      <c r="BT48" s="42">
        <v>2396.143</v>
      </c>
      <c r="BU48" s="42">
        <v>2417.2530000000002</v>
      </c>
      <c r="BV48" s="42">
        <v>2596.0500000000002</v>
      </c>
      <c r="BW48" s="42">
        <v>2804.3090000000002</v>
      </c>
      <c r="BX48" s="42">
        <v>2701.1819999999998</v>
      </c>
      <c r="BY48" s="42">
        <v>2667.67</v>
      </c>
      <c r="BZ48" s="42">
        <v>2706.4749999999999</v>
      </c>
      <c r="CA48" s="42">
        <v>2812.0920000000001</v>
      </c>
      <c r="CB48" s="42">
        <v>2926.1039999999998</v>
      </c>
      <c r="CC48" s="42">
        <v>2860.748</v>
      </c>
      <c r="CD48" s="42">
        <v>2965.2979999999998</v>
      </c>
      <c r="CE48" s="42">
        <v>3069.0030000000002</v>
      </c>
      <c r="CF48" s="42">
        <v>3037.2170000000001</v>
      </c>
      <c r="CG48" s="42">
        <v>3046.0619999999999</v>
      </c>
      <c r="CH48" s="42">
        <v>2894.864</v>
      </c>
      <c r="CI48" s="42">
        <v>3007.0659999999998</v>
      </c>
      <c r="CJ48" s="42">
        <v>3053.0129999999999</v>
      </c>
    </row>
    <row r="49" spans="1:88" ht="20.149999999999999" customHeight="1" x14ac:dyDescent="0.25">
      <c r="A49" s="12" t="s">
        <v>42</v>
      </c>
      <c r="B49" s="42">
        <v>1922.56255270571</v>
      </c>
      <c r="C49" s="42">
        <v>2066.7419306818138</v>
      </c>
      <c r="D49" s="42">
        <v>2047.1770952271106</v>
      </c>
      <c r="E49" s="42">
        <v>2034.9208122848315</v>
      </c>
      <c r="F49" s="42">
        <v>2125.7554924756641</v>
      </c>
      <c r="G49" s="42">
        <v>2088.5771539661905</v>
      </c>
      <c r="H49" s="42">
        <v>2185.1117215396321</v>
      </c>
      <c r="I49" s="42">
        <v>2179.3472690600715</v>
      </c>
      <c r="J49" s="42">
        <v>2298.0933842326535</v>
      </c>
      <c r="K49" s="42">
        <v>2361.5359095420908</v>
      </c>
      <c r="L49" s="13">
        <v>2389.2454394910992</v>
      </c>
      <c r="M49" s="13">
        <v>2468.4742113286056</v>
      </c>
      <c r="N49" s="13">
        <v>2522.9211016541331</v>
      </c>
      <c r="O49" s="13">
        <v>2424.257245116014</v>
      </c>
      <c r="P49" s="13">
        <v>2424.0873964535385</v>
      </c>
      <c r="Q49" s="13">
        <v>2517.0764845276121</v>
      </c>
      <c r="R49" s="48">
        <f t="shared" si="5"/>
        <v>2452.4848495981223</v>
      </c>
      <c r="S49" s="7">
        <v>2387.8932146686329</v>
      </c>
      <c r="T49" s="13">
        <v>2495.8074486685878</v>
      </c>
      <c r="U49" s="13">
        <v>2541.8054424173047</v>
      </c>
      <c r="V49" s="13">
        <v>2500.9886737583893</v>
      </c>
      <c r="W49" s="13">
        <v>2816.1766514600249</v>
      </c>
      <c r="X49" s="13">
        <v>2835.1973295695152</v>
      </c>
      <c r="Y49" s="13">
        <v>2766.0285076480855</v>
      </c>
      <c r="Z49" s="13">
        <v>2673.1280735419368</v>
      </c>
      <c r="AA49" s="13">
        <v>2793.3490569445316</v>
      </c>
      <c r="AB49" s="13">
        <v>2795.5889772532855</v>
      </c>
      <c r="AC49" s="13">
        <v>2790.3872888320366</v>
      </c>
      <c r="AD49" s="13">
        <v>2851.9513072697764</v>
      </c>
      <c r="AE49" s="13">
        <v>2984.9536183617097</v>
      </c>
      <c r="AF49" s="13">
        <v>2909.3429463047955</v>
      </c>
      <c r="AG49" s="13">
        <v>3019.4888762744981</v>
      </c>
      <c r="AH49" s="13">
        <v>2976.751420421388</v>
      </c>
      <c r="AI49" s="13">
        <v>3080.2879900719649</v>
      </c>
      <c r="AJ49" s="13">
        <v>3033.1230082292604</v>
      </c>
      <c r="AK49" s="13">
        <v>2913.0207754180387</v>
      </c>
      <c r="AL49" s="13">
        <v>3003.3067014867502</v>
      </c>
      <c r="AM49" s="13">
        <v>3034.3777798206324</v>
      </c>
      <c r="AN49" s="13">
        <v>3117.9287437430812</v>
      </c>
      <c r="AO49" s="13">
        <v>3029.2036563809761</v>
      </c>
      <c r="AP49" s="13">
        <v>3003.1858566360902</v>
      </c>
      <c r="AQ49" s="13">
        <v>3044.8850498131587</v>
      </c>
      <c r="AR49" s="13">
        <v>2994.886486988717</v>
      </c>
      <c r="AS49" s="13">
        <v>3094.6516137260087</v>
      </c>
      <c r="AT49" s="13">
        <v>3025.7487958679794</v>
      </c>
      <c r="AU49" s="13">
        <v>3148.8227974117767</v>
      </c>
      <c r="AV49" s="13">
        <v>3055.593923701017</v>
      </c>
      <c r="AW49" s="13">
        <v>3015.5352719147709</v>
      </c>
      <c r="AX49" s="51">
        <f t="shared" si="16"/>
        <v>2949.5715952826399</v>
      </c>
      <c r="AY49" s="51">
        <f t="shared" si="17"/>
        <v>2916.5897569665744</v>
      </c>
      <c r="AZ49" s="51">
        <f t="shared" si="2"/>
        <v>2900.0988378085417</v>
      </c>
      <c r="BA49" s="31">
        <v>2883.607918650509</v>
      </c>
      <c r="BB49" s="13">
        <v>2917.4139735793742</v>
      </c>
      <c r="BC49" s="13">
        <v>2964.3861422165146</v>
      </c>
      <c r="BD49" s="13">
        <v>2997.8594645765297</v>
      </c>
      <c r="BE49" s="13">
        <v>2953.5954846000004</v>
      </c>
      <c r="BF49" s="13">
        <v>2964.3273386999999</v>
      </c>
      <c r="BG49" s="13">
        <v>3136.5931616505759</v>
      </c>
      <c r="BH49" s="13">
        <v>3097.5720299999998</v>
      </c>
      <c r="BI49" s="13">
        <v>3063.4387392000003</v>
      </c>
      <c r="BJ49" s="13">
        <v>2967.7190000000001</v>
      </c>
      <c r="BK49" s="42">
        <v>2923.9589999999998</v>
      </c>
      <c r="BL49" s="42">
        <v>3025.5030000000002</v>
      </c>
      <c r="BM49" s="42">
        <v>3086.4349999999999</v>
      </c>
      <c r="BN49" s="42">
        <v>3184.0684075644931</v>
      </c>
      <c r="BO49" s="42">
        <v>3158.8679999999999</v>
      </c>
      <c r="BP49" s="42">
        <v>3233.1289999999999</v>
      </c>
      <c r="BQ49" s="42">
        <v>3159.502</v>
      </c>
      <c r="BR49" s="42">
        <v>3064.69</v>
      </c>
      <c r="BS49" s="42">
        <v>3070.43</v>
      </c>
      <c r="BT49" s="42">
        <v>3473.8820000000001</v>
      </c>
      <c r="BU49" s="42">
        <v>3540.45</v>
      </c>
      <c r="BV49" s="42">
        <v>3248.556</v>
      </c>
      <c r="BW49" s="42">
        <v>3350.1869999999999</v>
      </c>
      <c r="BX49" s="42">
        <v>3213.335</v>
      </c>
      <c r="BY49" s="42">
        <v>3386.585</v>
      </c>
      <c r="BZ49" s="42">
        <v>3282.1930000000002</v>
      </c>
      <c r="CA49" s="42">
        <v>3375.8150000000001</v>
      </c>
      <c r="CB49" s="42">
        <v>3408.8609999999999</v>
      </c>
      <c r="CC49" s="42">
        <v>3288.375</v>
      </c>
      <c r="CD49" s="42">
        <v>3496.7910000000002</v>
      </c>
      <c r="CE49" s="42">
        <v>3456.732</v>
      </c>
      <c r="CF49" s="42">
        <v>3447.45</v>
      </c>
      <c r="CG49" s="42">
        <v>3459.0819999999999</v>
      </c>
      <c r="CH49" s="42">
        <v>3554.8870000000002</v>
      </c>
      <c r="CI49" s="42">
        <v>3543.44</v>
      </c>
      <c r="CJ49" s="42">
        <v>3360.826</v>
      </c>
    </row>
    <row r="50" spans="1:88" ht="20.149999999999999" customHeight="1" x14ac:dyDescent="0.25">
      <c r="A50" s="12" t="s">
        <v>38</v>
      </c>
      <c r="B50" s="42">
        <v>621.76774945561749</v>
      </c>
      <c r="C50" s="42">
        <v>643.06627694749147</v>
      </c>
      <c r="D50" s="42">
        <v>542.98748094257689</v>
      </c>
      <c r="E50" s="42">
        <v>611.83502871152518</v>
      </c>
      <c r="F50" s="42">
        <v>654.44133947840896</v>
      </c>
      <c r="G50" s="42">
        <v>617.35215840465139</v>
      </c>
      <c r="H50" s="42">
        <v>608.13378934556897</v>
      </c>
      <c r="I50" s="42">
        <v>642.37413377124142</v>
      </c>
      <c r="J50" s="42">
        <v>582.30975636206983</v>
      </c>
      <c r="K50" s="42">
        <v>560.73793691353978</v>
      </c>
      <c r="L50" s="13">
        <v>561.92145913645027</v>
      </c>
      <c r="M50" s="13">
        <v>510.29232465506192</v>
      </c>
      <c r="N50" s="13">
        <v>522.08031419399606</v>
      </c>
      <c r="O50" s="13">
        <v>630.30435516980367</v>
      </c>
      <c r="P50" s="13">
        <v>545.94129106877563</v>
      </c>
      <c r="Q50" s="13">
        <v>670.6210362716655</v>
      </c>
      <c r="R50" s="48">
        <f t="shared" si="5"/>
        <v>814.63506617858002</v>
      </c>
      <c r="S50" s="7">
        <v>958.64909608549453</v>
      </c>
      <c r="T50" s="13">
        <v>831.97778719846031</v>
      </c>
      <c r="U50" s="13">
        <v>761.08201170618759</v>
      </c>
      <c r="V50" s="13">
        <v>792.09096640599921</v>
      </c>
      <c r="W50" s="13">
        <v>465.27725125300299</v>
      </c>
      <c r="X50" s="13">
        <v>479.71303270939728</v>
      </c>
      <c r="Y50" s="13">
        <v>555.01955283738766</v>
      </c>
      <c r="Z50" s="13">
        <v>571.62891668822408</v>
      </c>
      <c r="AA50" s="13">
        <v>474.79920277992971</v>
      </c>
      <c r="AB50" s="13">
        <v>505.38650003426125</v>
      </c>
      <c r="AC50" s="13">
        <v>581.47271403497064</v>
      </c>
      <c r="AD50" s="13">
        <v>497.09798124664536</v>
      </c>
      <c r="AE50" s="13">
        <v>515.56017869644324</v>
      </c>
      <c r="AF50" s="13">
        <v>487.50286184066647</v>
      </c>
      <c r="AG50" s="13">
        <v>514.38982084381269</v>
      </c>
      <c r="AH50" s="13">
        <v>615.87252461701291</v>
      </c>
      <c r="AI50" s="13">
        <v>565.04452981370457</v>
      </c>
      <c r="AJ50" s="13">
        <v>641.00589612808437</v>
      </c>
      <c r="AK50" s="13">
        <v>758.37586519470017</v>
      </c>
      <c r="AL50" s="13">
        <v>709.27448345371306</v>
      </c>
      <c r="AM50" s="13">
        <v>712.12663314671602</v>
      </c>
      <c r="AN50" s="13">
        <v>638.15626229411998</v>
      </c>
      <c r="AO50" s="13">
        <v>725.75029981786417</v>
      </c>
      <c r="AP50" s="13">
        <v>766.65958961403112</v>
      </c>
      <c r="AQ50" s="13">
        <v>872.15163397630647</v>
      </c>
      <c r="AR50" s="13">
        <v>798.66870938332465</v>
      </c>
      <c r="AS50" s="13">
        <v>656.32336954227139</v>
      </c>
      <c r="AT50" s="13">
        <v>695.61767710719198</v>
      </c>
      <c r="AU50" s="13">
        <v>617.42573932572634</v>
      </c>
      <c r="AV50" s="13">
        <v>809.34667498323597</v>
      </c>
      <c r="AW50" s="13">
        <v>892.0171502402842</v>
      </c>
      <c r="AX50" s="51">
        <f t="shared" si="16"/>
        <v>864.98156708049555</v>
      </c>
      <c r="AY50" s="51">
        <f t="shared" si="17"/>
        <v>851.46377550060117</v>
      </c>
      <c r="AZ50" s="51">
        <f t="shared" si="2"/>
        <v>844.70487971065404</v>
      </c>
      <c r="BA50" s="31">
        <v>837.94598392070679</v>
      </c>
      <c r="BB50" s="13">
        <v>983.52728297612646</v>
      </c>
      <c r="BC50" s="13">
        <v>953.83240280248162</v>
      </c>
      <c r="BD50" s="13">
        <v>882.20047342719784</v>
      </c>
      <c r="BE50" s="13">
        <v>815.9062136</v>
      </c>
      <c r="BF50" s="13">
        <v>781.51335990000007</v>
      </c>
      <c r="BG50" s="13">
        <v>677.40212422338038</v>
      </c>
      <c r="BH50" s="13">
        <v>893.14703999999995</v>
      </c>
      <c r="BI50" s="13">
        <v>647.41760290000002</v>
      </c>
      <c r="BJ50" s="13">
        <v>787.96500000000003</v>
      </c>
      <c r="BK50" s="42">
        <v>891.01300000000003</v>
      </c>
      <c r="BL50" s="42">
        <v>883.70899999999995</v>
      </c>
      <c r="BM50" s="42">
        <v>740.61099999999999</v>
      </c>
      <c r="BN50" s="42">
        <v>675.34157154496108</v>
      </c>
      <c r="BO50" s="42">
        <v>792.52599999999995</v>
      </c>
      <c r="BP50" s="42">
        <v>752.33399999999995</v>
      </c>
      <c r="BQ50" s="42">
        <v>625.78800000000001</v>
      </c>
      <c r="BR50" s="42">
        <v>536.73299999999995</v>
      </c>
      <c r="BS50" s="42">
        <v>646.24400000000003</v>
      </c>
      <c r="BT50" s="42">
        <v>735.16200000000003</v>
      </c>
      <c r="BU50" s="42">
        <v>755.75400000000002</v>
      </c>
      <c r="BV50" s="42">
        <v>1076.9059999999999</v>
      </c>
      <c r="BW50" s="42">
        <v>975.35199999999998</v>
      </c>
      <c r="BX50" s="42">
        <v>1071.566</v>
      </c>
      <c r="BY50" s="42">
        <v>1173.9490000000001</v>
      </c>
      <c r="BZ50" s="42">
        <v>1255.07</v>
      </c>
      <c r="CA50" s="42">
        <v>1356.5740000000001</v>
      </c>
      <c r="CB50" s="42">
        <v>1196.4829999999999</v>
      </c>
      <c r="CC50" s="42">
        <v>1197.26</v>
      </c>
      <c r="CD50" s="42">
        <v>1169.6300000000001</v>
      </c>
      <c r="CE50" s="42">
        <v>979.41</v>
      </c>
      <c r="CF50" s="42">
        <v>973.88</v>
      </c>
      <c r="CG50" s="42">
        <v>879.33600000000001</v>
      </c>
      <c r="CH50" s="42">
        <v>769.32399999999996</v>
      </c>
      <c r="CI50" s="42">
        <v>860.57</v>
      </c>
      <c r="CJ50" s="42">
        <v>865.85799999999995</v>
      </c>
    </row>
    <row r="51" spans="1:88" ht="20.149999999999999" customHeight="1" thickBot="1" x14ac:dyDescent="0.3">
      <c r="A51" s="14" t="s">
        <v>43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49"/>
      <c r="S51" s="14"/>
      <c r="T51" s="14"/>
      <c r="U51" s="14"/>
      <c r="V51" s="14"/>
      <c r="W51" s="14"/>
      <c r="X51" s="14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4"/>
      <c r="AY51" s="14"/>
      <c r="AZ51" s="14"/>
      <c r="BA51" s="33"/>
      <c r="BB51" s="15"/>
      <c r="BC51" s="15"/>
      <c r="BD51" s="15"/>
      <c r="BE51" s="15"/>
      <c r="BF51" s="15"/>
      <c r="BG51" s="15"/>
      <c r="BH51" s="15"/>
      <c r="BI51" s="15"/>
      <c r="BJ51" s="15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</row>
    <row r="52" spans="1:88" ht="20.149999999999999" customHeight="1" x14ac:dyDescent="0.25">
      <c r="A52" s="12" t="s">
        <v>44</v>
      </c>
      <c r="B52" s="42">
        <v>841.80433864117833</v>
      </c>
      <c r="C52" s="42">
        <v>862.6929641893247</v>
      </c>
      <c r="D52" s="42">
        <v>861.37570399835136</v>
      </c>
      <c r="E52" s="42">
        <v>875.86080909149939</v>
      </c>
      <c r="F52" s="42">
        <v>859.17249308529642</v>
      </c>
      <c r="G52" s="42">
        <v>894.30066965590288</v>
      </c>
      <c r="H52" s="42">
        <v>896.421003548773</v>
      </c>
      <c r="I52" s="42">
        <v>866.70545829541311</v>
      </c>
      <c r="J52" s="42">
        <v>962.8369183221298</v>
      </c>
      <c r="K52" s="42">
        <v>907.64533079363503</v>
      </c>
      <c r="L52" s="13">
        <v>879.49701183137529</v>
      </c>
      <c r="M52" s="13">
        <v>884.4855452243844</v>
      </c>
      <c r="N52" s="13">
        <v>915.58661180759066</v>
      </c>
      <c r="O52" s="13">
        <v>884.21425718014405</v>
      </c>
      <c r="P52" s="13">
        <v>955.74759043209895</v>
      </c>
      <c r="Q52" s="13">
        <v>935.85695341109954</v>
      </c>
      <c r="R52" s="48">
        <f t="shared" si="5"/>
        <v>978.98062458556626</v>
      </c>
      <c r="S52" s="7">
        <v>1022.104295760033</v>
      </c>
      <c r="T52" s="13">
        <v>1032.1008847420205</v>
      </c>
      <c r="U52" s="13">
        <v>1011.6956684498791</v>
      </c>
      <c r="V52" s="13">
        <v>918.16793432329575</v>
      </c>
      <c r="W52" s="13">
        <v>1073.4244834411002</v>
      </c>
      <c r="X52" s="13">
        <v>1057.9407748586509</v>
      </c>
      <c r="Y52" s="13">
        <v>1055.8292977753042</v>
      </c>
      <c r="Z52" s="13">
        <v>1028.778931739871</v>
      </c>
      <c r="AA52" s="13">
        <v>1041.2166955935745</v>
      </c>
      <c r="AB52" s="13">
        <v>1073.4010975227816</v>
      </c>
      <c r="AC52" s="13">
        <v>1073.1848518875493</v>
      </c>
      <c r="AD52" s="13">
        <v>1122.6035734626003</v>
      </c>
      <c r="AE52" s="13">
        <v>1076.6207946763473</v>
      </c>
      <c r="AF52" s="13">
        <v>1075.7962040441535</v>
      </c>
      <c r="AG52" s="13">
        <v>1041.0662891290613</v>
      </c>
      <c r="AH52" s="13">
        <v>1112.55245606672</v>
      </c>
      <c r="AI52" s="13">
        <v>1103.4457154023664</v>
      </c>
      <c r="AJ52" s="13">
        <v>1095.5238416964928</v>
      </c>
      <c r="AK52" s="13">
        <v>1074.5861563789281</v>
      </c>
      <c r="AL52" s="13">
        <v>1021.3327055079902</v>
      </c>
      <c r="AM52" s="13">
        <v>1039.054584754482</v>
      </c>
      <c r="AN52" s="13">
        <v>1095.3066913392604</v>
      </c>
      <c r="AO52" s="13">
        <v>1104.7119740505318</v>
      </c>
      <c r="AP52" s="13">
        <v>901.80319449442572</v>
      </c>
      <c r="AQ52" s="13">
        <v>900.5929770295038</v>
      </c>
      <c r="AR52" s="13">
        <v>828.69750876682303</v>
      </c>
      <c r="AS52" s="13">
        <v>858.18192632199862</v>
      </c>
      <c r="AT52" s="13">
        <v>1029.1939506546978</v>
      </c>
      <c r="AU52" s="13">
        <v>939.10780588926684</v>
      </c>
      <c r="AV52" s="13">
        <v>991.13390084389437</v>
      </c>
      <c r="AW52" s="13">
        <v>969.71689931607295</v>
      </c>
      <c r="AX52" s="51">
        <f t="shared" ref="AX52" si="18">+(AW52+BA52)/2</f>
        <v>1057.1294887990289</v>
      </c>
      <c r="AY52" s="51">
        <f t="shared" ref="AY52" si="19">+(AX52+BA52)/2</f>
        <v>1100.8357835405068</v>
      </c>
      <c r="AZ52" s="51">
        <f t="shared" si="2"/>
        <v>1122.6889309112457</v>
      </c>
      <c r="BA52" s="31">
        <v>1144.5420782819849</v>
      </c>
      <c r="BB52" s="13">
        <v>1158.0020772640235</v>
      </c>
      <c r="BC52" s="13">
        <v>1176.4497100968301</v>
      </c>
      <c r="BD52" s="13">
        <v>1097.5976461562313</v>
      </c>
      <c r="BE52" s="13">
        <v>1105.6957348386816</v>
      </c>
      <c r="BF52" s="13">
        <v>1051.5120798</v>
      </c>
      <c r="BG52" s="13">
        <v>1163.8845391257066</v>
      </c>
      <c r="BH52" s="13">
        <v>1135.3126613634574</v>
      </c>
      <c r="BI52" s="13">
        <v>1163.5946774334473</v>
      </c>
      <c r="BJ52" s="13">
        <v>1218.6980098650345</v>
      </c>
      <c r="BK52" s="42">
        <v>1180.7398420627467</v>
      </c>
      <c r="BL52" s="42">
        <v>1170.5445014785614</v>
      </c>
      <c r="BM52" s="42">
        <v>1282.3861973425905</v>
      </c>
      <c r="BN52" s="42">
        <v>1326.0968019411937</v>
      </c>
      <c r="BO52" s="42">
        <v>1363.2703582746187</v>
      </c>
      <c r="BP52" s="42">
        <v>1258.1211753863199</v>
      </c>
      <c r="BQ52" s="42">
        <v>994.99734684720124</v>
      </c>
      <c r="BR52" s="42">
        <v>1061.0980671567436</v>
      </c>
      <c r="BS52" s="42">
        <v>1118.0293448977661</v>
      </c>
      <c r="BT52" s="42">
        <v>1327.8363075750487</v>
      </c>
      <c r="BU52" s="42">
        <v>1360.8328181240693</v>
      </c>
      <c r="BV52" s="42">
        <v>1342.1208011179706</v>
      </c>
      <c r="BW52" s="42">
        <v>1306.828149918281</v>
      </c>
      <c r="BX52" s="42">
        <v>1250.5420592533517</v>
      </c>
      <c r="BY52" s="42">
        <v>1319.8639698799943</v>
      </c>
      <c r="BZ52" s="42">
        <v>1204.8351453657513</v>
      </c>
      <c r="CA52" s="42">
        <v>1328.1420327456392</v>
      </c>
      <c r="CB52" s="42">
        <v>1212.0032783216604</v>
      </c>
      <c r="CC52" s="42">
        <v>1199.7319698391605</v>
      </c>
      <c r="CD52" s="42">
        <v>1337.3518235806355</v>
      </c>
      <c r="CE52" s="42">
        <v>1428.2692861710634</v>
      </c>
      <c r="CF52" s="42">
        <v>1328.7488668751607</v>
      </c>
      <c r="CG52" s="42">
        <v>1333.4943066545347</v>
      </c>
      <c r="CH52" s="42">
        <v>1479.963269238601</v>
      </c>
      <c r="CI52" s="42">
        <v>1625.861904042788</v>
      </c>
      <c r="CJ52" s="42">
        <v>1402.145638129115</v>
      </c>
    </row>
    <row r="53" spans="1:88" ht="20.149999999999999" customHeight="1" x14ac:dyDescent="0.25">
      <c r="A53" s="12" t="s">
        <v>45</v>
      </c>
      <c r="B53" s="42">
        <v>1568.6035995228654</v>
      </c>
      <c r="C53" s="42">
        <v>1579.9802316367338</v>
      </c>
      <c r="D53" s="42">
        <v>1473.0294827855198</v>
      </c>
      <c r="E53" s="42">
        <v>1566.3553422366449</v>
      </c>
      <c r="F53" s="42">
        <v>1554.6100754151748</v>
      </c>
      <c r="G53" s="42">
        <v>1563.5622600615234</v>
      </c>
      <c r="H53" s="42">
        <v>1393.6445527137528</v>
      </c>
      <c r="I53" s="42">
        <v>1515.9159516115046</v>
      </c>
      <c r="J53" s="42">
        <v>1676.1698970146329</v>
      </c>
      <c r="K53" s="42">
        <v>1674.1569177510346</v>
      </c>
      <c r="L53" s="13">
        <v>1587.0697177143863</v>
      </c>
      <c r="M53" s="13">
        <v>1675.9482301620985</v>
      </c>
      <c r="N53" s="13">
        <v>1687.3312678034081</v>
      </c>
      <c r="O53" s="13">
        <v>1644.1039313690374</v>
      </c>
      <c r="P53" s="13">
        <v>1704.4476414038706</v>
      </c>
      <c r="Q53" s="13">
        <v>1811.7777023653464</v>
      </c>
      <c r="R53" s="48">
        <f t="shared" si="5"/>
        <v>1787.5672157896404</v>
      </c>
      <c r="S53" s="7">
        <v>1763.3567292139344</v>
      </c>
      <c r="T53" s="13">
        <v>1765.9982018991059</v>
      </c>
      <c r="U53" s="13">
        <v>1846.625418277679</v>
      </c>
      <c r="V53" s="13">
        <v>1763.0400242982837</v>
      </c>
      <c r="W53" s="13">
        <v>1865.1004027134068</v>
      </c>
      <c r="X53" s="13">
        <v>1851.8236152045811</v>
      </c>
      <c r="Y53" s="13">
        <v>1867.8596718307226</v>
      </c>
      <c r="Z53" s="13">
        <v>1904.8512542141868</v>
      </c>
      <c r="AA53" s="13">
        <v>1837.7274372636325</v>
      </c>
      <c r="AB53" s="13">
        <v>1859.606434005148</v>
      </c>
      <c r="AC53" s="13">
        <v>1991.7222807330604</v>
      </c>
      <c r="AD53" s="13">
        <v>1813.8278949084042</v>
      </c>
      <c r="AE53" s="13">
        <v>1936.8655926633623</v>
      </c>
      <c r="AF53" s="13">
        <v>1867.2827615802044</v>
      </c>
      <c r="AG53" s="13">
        <v>2055.9851988765963</v>
      </c>
      <c r="AH53" s="13">
        <v>1962.026862926602</v>
      </c>
      <c r="AI53" s="13">
        <v>1944.7720506828639</v>
      </c>
      <c r="AJ53" s="13">
        <v>1895.9458695385811</v>
      </c>
      <c r="AK53" s="13">
        <v>1978.4446988360578</v>
      </c>
      <c r="AL53" s="13">
        <v>2023.7435856463076</v>
      </c>
      <c r="AM53" s="13">
        <v>2018.5892280531982</v>
      </c>
      <c r="AN53" s="13">
        <v>1911.0215651785725</v>
      </c>
      <c r="AO53" s="13">
        <v>1948.34044704386</v>
      </c>
      <c r="AP53" s="13">
        <v>2168.4554497257905</v>
      </c>
      <c r="AQ53" s="13">
        <v>2109.7236048048017</v>
      </c>
      <c r="AR53" s="13">
        <v>2053.1467872652629</v>
      </c>
      <c r="AS53" s="13">
        <v>2031.4532861293892</v>
      </c>
      <c r="AT53" s="13">
        <v>1871.6814295991051</v>
      </c>
      <c r="AU53" s="13">
        <v>1981.80375327308</v>
      </c>
      <c r="AV53" s="13">
        <v>1872.7662863194407</v>
      </c>
      <c r="AW53" s="13">
        <v>1846.3833426867577</v>
      </c>
      <c r="AX53" s="51">
        <f t="shared" ref="AX53:AX55" si="20">+(AW53+BA53)/2</f>
        <v>1925.7686440967311</v>
      </c>
      <c r="AY53" s="51">
        <f t="shared" ref="AY53:AY55" si="21">+(AX53+BA53)/2</f>
        <v>1965.4612948017179</v>
      </c>
      <c r="AZ53" s="51">
        <f t="shared" si="2"/>
        <v>1985.3076201542112</v>
      </c>
      <c r="BA53" s="31">
        <v>2005.1539455067045</v>
      </c>
      <c r="BB53" s="13">
        <v>2039.8249835862694</v>
      </c>
      <c r="BC53" s="13">
        <v>2083.2149012816985</v>
      </c>
      <c r="BD53" s="13">
        <v>1999.0280747781032</v>
      </c>
      <c r="BE53" s="13">
        <v>2037.2815696157841</v>
      </c>
      <c r="BF53" s="13">
        <v>2015.806065</v>
      </c>
      <c r="BG53" s="13">
        <v>2203.7281838907634</v>
      </c>
      <c r="BH53" s="13">
        <v>2118.4358879175061</v>
      </c>
      <c r="BI53" s="13">
        <v>2183.5279283795071</v>
      </c>
      <c r="BJ53" s="13">
        <v>2028.3951853962278</v>
      </c>
      <c r="BK53" s="42">
        <v>2189.5162471879471</v>
      </c>
      <c r="BL53" s="42">
        <v>2136.4602028282798</v>
      </c>
      <c r="BM53" s="42">
        <v>2172.7345660233459</v>
      </c>
      <c r="BN53" s="42">
        <v>2236.2808819769452</v>
      </c>
      <c r="BO53" s="42">
        <v>2328.0170739991099</v>
      </c>
      <c r="BP53" s="42">
        <v>2160.7877779027508</v>
      </c>
      <c r="BQ53" s="42">
        <v>1970.4254534713991</v>
      </c>
      <c r="BR53" s="42">
        <v>1992.9343810560217</v>
      </c>
      <c r="BS53" s="42">
        <v>2094.7826176227882</v>
      </c>
      <c r="BT53" s="42">
        <v>2247.6003189811991</v>
      </c>
      <c r="BU53" s="42">
        <v>2341.2360068651014</v>
      </c>
      <c r="BV53" s="42">
        <v>2514.0103810932856</v>
      </c>
      <c r="BW53" s="42">
        <v>2464.7522835015643</v>
      </c>
      <c r="BX53" s="42">
        <v>2438.1510168340733</v>
      </c>
      <c r="BY53" s="42">
        <v>2341.5369522123165</v>
      </c>
      <c r="BZ53" s="42">
        <v>2319.1520877110524</v>
      </c>
      <c r="CA53" s="42">
        <v>2291.8301957996273</v>
      </c>
      <c r="CB53" s="42">
        <v>2342.0860629939984</v>
      </c>
      <c r="CC53" s="42">
        <v>2262.6307138790808</v>
      </c>
      <c r="CD53" s="42">
        <v>2251.1998063787814</v>
      </c>
      <c r="CE53" s="42">
        <v>2374.1077223862435</v>
      </c>
      <c r="CF53" s="42">
        <v>2273.9148978901453</v>
      </c>
      <c r="CG53" s="42">
        <v>2324.6925170640507</v>
      </c>
      <c r="CH53" s="42">
        <v>2412.1575790491929</v>
      </c>
      <c r="CI53" s="42">
        <v>2280.7025298646427</v>
      </c>
      <c r="CJ53" s="42">
        <v>2342.1343069278855</v>
      </c>
    </row>
    <row r="54" spans="1:88" ht="20.149999999999999" customHeight="1" x14ac:dyDescent="0.25">
      <c r="A54" s="12" t="s">
        <v>46</v>
      </c>
      <c r="B54" s="42">
        <v>4187.4293661797865</v>
      </c>
      <c r="C54" s="42">
        <v>4358.7484234382873</v>
      </c>
      <c r="D54" s="42">
        <v>4562.0885023710689</v>
      </c>
      <c r="E54" s="42">
        <v>4619.539482255921</v>
      </c>
      <c r="F54" s="42">
        <v>4864.4215499696184</v>
      </c>
      <c r="G54" s="42">
        <v>4789.0391338638055</v>
      </c>
      <c r="H54" s="42">
        <v>4783.5432658511536</v>
      </c>
      <c r="I54" s="42">
        <v>4871.7365930621918</v>
      </c>
      <c r="J54" s="42">
        <v>4794.1286940279897</v>
      </c>
      <c r="K54" s="42">
        <v>4965.8330547099167</v>
      </c>
      <c r="L54" s="13">
        <v>4949.9938959408028</v>
      </c>
      <c r="M54" s="13">
        <v>5171.2495868148726</v>
      </c>
      <c r="N54" s="13">
        <v>5139.0142039306174</v>
      </c>
      <c r="O54" s="13">
        <v>5263.5543350757844</v>
      </c>
      <c r="P54" s="13">
        <v>5094.4403397828455</v>
      </c>
      <c r="Q54" s="13">
        <v>5207.9161923332795</v>
      </c>
      <c r="R54" s="48">
        <f t="shared" si="5"/>
        <v>5171.3374303520613</v>
      </c>
      <c r="S54" s="7">
        <v>5134.7586683708432</v>
      </c>
      <c r="T54" s="13">
        <v>5127.4400839883519</v>
      </c>
      <c r="U54" s="13">
        <v>5115.097065332362</v>
      </c>
      <c r="V54" s="13">
        <v>5342.0647381538884</v>
      </c>
      <c r="W54" s="13">
        <v>5356.2631823635093</v>
      </c>
      <c r="X54" s="13">
        <v>5365.4510824797153</v>
      </c>
      <c r="Y54" s="13">
        <v>5156.1962665138744</v>
      </c>
      <c r="Z54" s="13">
        <v>5115.5768473075177</v>
      </c>
      <c r="AA54" s="13">
        <v>5340.7531872620966</v>
      </c>
      <c r="AB54" s="13">
        <v>5257.106819339544</v>
      </c>
      <c r="AC54" s="13">
        <v>5205.7230836019799</v>
      </c>
      <c r="AD54" s="13">
        <v>5296.1638441402756</v>
      </c>
      <c r="AE54" s="13">
        <v>5351.4923124459201</v>
      </c>
      <c r="AF54" s="13">
        <v>5423.0910681904643</v>
      </c>
      <c r="AG54" s="13">
        <v>5526.7414481998585</v>
      </c>
      <c r="AH54" s="13">
        <v>5596.9213615629296</v>
      </c>
      <c r="AI54" s="13">
        <v>5648.5914080950806</v>
      </c>
      <c r="AJ54" s="13">
        <v>5647.1573205573413</v>
      </c>
      <c r="AK54" s="13">
        <v>5514.0342510019764</v>
      </c>
      <c r="AL54" s="13">
        <v>5531.0478669611448</v>
      </c>
      <c r="AM54" s="13">
        <v>5791.1779083108795</v>
      </c>
      <c r="AN54" s="13">
        <v>5565.1419706585366</v>
      </c>
      <c r="AO54" s="13">
        <v>5744.8192943601225</v>
      </c>
      <c r="AP54" s="13">
        <v>5939.6411479385206</v>
      </c>
      <c r="AQ54" s="13">
        <v>5894.9149407686746</v>
      </c>
      <c r="AR54" s="13">
        <v>5976.6247022520183</v>
      </c>
      <c r="AS54" s="13">
        <v>5774.5527372069064</v>
      </c>
      <c r="AT54" s="13">
        <v>5749.2134601302059</v>
      </c>
      <c r="AU54" s="13">
        <v>5933.1080538908773</v>
      </c>
      <c r="AV54" s="13">
        <v>5899.8101999294149</v>
      </c>
      <c r="AW54" s="13">
        <v>5986.1488744669605</v>
      </c>
      <c r="AX54" s="51">
        <f t="shared" si="20"/>
        <v>5904.0949704720188</v>
      </c>
      <c r="AY54" s="51">
        <f t="shared" si="21"/>
        <v>5863.0680184745488</v>
      </c>
      <c r="AZ54" s="51">
        <f t="shared" si="2"/>
        <v>5842.5545424758129</v>
      </c>
      <c r="BA54" s="31">
        <v>5822.0410664770779</v>
      </c>
      <c r="BB54" s="13">
        <v>5943.0273459128175</v>
      </c>
      <c r="BC54" s="13">
        <v>5838.8245560021551</v>
      </c>
      <c r="BD54" s="13">
        <v>5951.4420997827046</v>
      </c>
      <c r="BE54" s="13">
        <v>5898.1411969823039</v>
      </c>
      <c r="BF54" s="13">
        <v>6137.7524481000009</v>
      </c>
      <c r="BG54" s="13">
        <v>6088.073658511963</v>
      </c>
      <c r="BH54" s="13">
        <v>6128.6189527063525</v>
      </c>
      <c r="BI54" s="13">
        <v>5996.9410801805407</v>
      </c>
      <c r="BJ54" s="13">
        <v>5976.1580101334357</v>
      </c>
      <c r="BK54" s="42">
        <v>5883.3711993202078</v>
      </c>
      <c r="BL54" s="42">
        <v>6069.311703157402</v>
      </c>
      <c r="BM54" s="42">
        <v>6086.865624974178</v>
      </c>
      <c r="BN54" s="42">
        <v>5976.5752006960311</v>
      </c>
      <c r="BO54" s="42">
        <v>6018.9158093737678</v>
      </c>
      <c r="BP54" s="42">
        <v>6008.2978605135268</v>
      </c>
      <c r="BQ54" s="42">
        <v>4782.3353132835882</v>
      </c>
      <c r="BR54" s="42">
        <v>5667.3994154337133</v>
      </c>
      <c r="BS54" s="42">
        <v>5996.1991092248845</v>
      </c>
      <c r="BT54" s="42">
        <v>6218.1770524905869</v>
      </c>
      <c r="BU54" s="42">
        <v>6142.4414682055467</v>
      </c>
      <c r="BV54" s="42">
        <v>6247.9341785958895</v>
      </c>
      <c r="BW54" s="42">
        <v>6614.5691554134273</v>
      </c>
      <c r="BX54" s="42">
        <v>6546.8904699961195</v>
      </c>
      <c r="BY54" s="42">
        <v>6867.224076466895</v>
      </c>
      <c r="BZ54" s="42">
        <v>6954.4696167914453</v>
      </c>
      <c r="CA54" s="42">
        <v>6950.0975166878397</v>
      </c>
      <c r="CB54" s="42">
        <v>7202.0710723221337</v>
      </c>
      <c r="CC54" s="42">
        <v>7240.7797120956711</v>
      </c>
      <c r="CD54" s="42">
        <v>7438.0794201645003</v>
      </c>
      <c r="CE54" s="42">
        <v>7449.0715666737597</v>
      </c>
      <c r="CF54" s="42">
        <v>7258.7544501978755</v>
      </c>
      <c r="CG54" s="42">
        <v>7279.9884904726205</v>
      </c>
      <c r="CH54" s="42">
        <v>7228.7534937903201</v>
      </c>
      <c r="CI54" s="42">
        <v>7468.5761786318853</v>
      </c>
      <c r="CJ54" s="42">
        <v>7259.9028685335279</v>
      </c>
    </row>
    <row r="55" spans="1:88" ht="20.149999999999999" customHeight="1" x14ac:dyDescent="0.25">
      <c r="A55" s="12" t="s">
        <v>47</v>
      </c>
      <c r="B55" s="42">
        <v>2425.4729941658316</v>
      </c>
      <c r="C55" s="42">
        <v>2448.9417683087963</v>
      </c>
      <c r="D55" s="42">
        <v>2362.03038296469</v>
      </c>
      <c r="E55" s="42">
        <v>2303.5553740385822</v>
      </c>
      <c r="F55" s="42">
        <v>2277.8308902519452</v>
      </c>
      <c r="G55" s="42">
        <v>2423.632985612126</v>
      </c>
      <c r="H55" s="42">
        <v>2446.6151676492218</v>
      </c>
      <c r="I55" s="42">
        <v>2382.2162027062109</v>
      </c>
      <c r="J55" s="42">
        <v>2478.2047900976904</v>
      </c>
      <c r="K55" s="42">
        <v>2467.2686927828549</v>
      </c>
      <c r="L55" s="13">
        <v>2483.7063942824602</v>
      </c>
      <c r="M55" s="13">
        <v>2426.5141989101276</v>
      </c>
      <c r="N55" s="13">
        <v>2418.442397201427</v>
      </c>
      <c r="O55" s="13">
        <v>2506.035449387914</v>
      </c>
      <c r="P55" s="13">
        <v>2487.5510861335715</v>
      </c>
      <c r="Q55" s="13">
        <v>2432.259784775139</v>
      </c>
      <c r="R55" s="48">
        <f t="shared" si="5"/>
        <v>2443.2409688427997</v>
      </c>
      <c r="S55" s="7">
        <v>2454.2221529104604</v>
      </c>
      <c r="T55" s="13">
        <v>2438.7894518005328</v>
      </c>
      <c r="U55" s="13">
        <v>2464.5816913322501</v>
      </c>
      <c r="V55" s="13">
        <v>2402.9497985699504</v>
      </c>
      <c r="W55" s="13">
        <v>2373.8763458621806</v>
      </c>
      <c r="X55" s="13">
        <v>2372.9051581939884</v>
      </c>
      <c r="Y55" s="13">
        <v>2511.8705795101232</v>
      </c>
      <c r="Z55" s="13">
        <v>2476.8454867378164</v>
      </c>
      <c r="AA55" s="13">
        <v>2470.341229962703</v>
      </c>
      <c r="AB55" s="13">
        <v>2494.5028709499948</v>
      </c>
      <c r="AC55" s="13">
        <v>2499.9070562013871</v>
      </c>
      <c r="AD55" s="13">
        <v>2576.6964669671029</v>
      </c>
      <c r="AE55" s="13">
        <v>2462.0824908146246</v>
      </c>
      <c r="AF55" s="13">
        <v>2472.4044695147845</v>
      </c>
      <c r="AG55" s="13">
        <v>2472.8958376244536</v>
      </c>
      <c r="AH55" s="13">
        <v>2499.7886935737433</v>
      </c>
      <c r="AI55" s="13">
        <v>2409.177899776289</v>
      </c>
      <c r="AJ55" s="13">
        <v>2322.2547557531207</v>
      </c>
      <c r="AK55" s="13">
        <v>2570.6993579738892</v>
      </c>
      <c r="AL55" s="13">
        <v>2709.6072550160693</v>
      </c>
      <c r="AM55" s="13">
        <v>2421.0544028604286</v>
      </c>
      <c r="AN55" s="13">
        <v>2503.23599361685</v>
      </c>
      <c r="AO55" s="13">
        <v>2538.8911883185092</v>
      </c>
      <c r="AP55" s="13">
        <v>2320.6198389550491</v>
      </c>
      <c r="AQ55" s="13">
        <v>2399.3488655854781</v>
      </c>
      <c r="AR55" s="13">
        <v>2237.2729606228218</v>
      </c>
      <c r="AS55" s="13">
        <v>2346.718421168523</v>
      </c>
      <c r="AT55" s="13">
        <v>2372.3142620812027</v>
      </c>
      <c r="AU55" s="13">
        <v>2398.9368981543125</v>
      </c>
      <c r="AV55" s="13">
        <v>2338.5062901245092</v>
      </c>
      <c r="AW55" s="13">
        <v>2289.6143520345258</v>
      </c>
      <c r="AX55" s="51">
        <f t="shared" si="20"/>
        <v>2395.1380954449169</v>
      </c>
      <c r="AY55" s="51">
        <f t="shared" si="21"/>
        <v>2447.8999671501124</v>
      </c>
      <c r="AZ55" s="51">
        <f t="shared" si="2"/>
        <v>2474.2809030027101</v>
      </c>
      <c r="BA55" s="31">
        <v>2500.6618388553075</v>
      </c>
      <c r="BB55" s="13">
        <v>2473.3634928251772</v>
      </c>
      <c r="BC55" s="13">
        <v>2498.261216232595</v>
      </c>
      <c r="BD55" s="13">
        <v>2412.7543845947293</v>
      </c>
      <c r="BE55" s="13">
        <v>2469.9296727632313</v>
      </c>
      <c r="BF55" s="13">
        <v>2524.5601017000004</v>
      </c>
      <c r="BG55" s="13">
        <v>2555.6416584715644</v>
      </c>
      <c r="BH55" s="13">
        <v>2484.0144280126829</v>
      </c>
      <c r="BI55" s="13">
        <v>2413.5354800065047</v>
      </c>
      <c r="BJ55" s="13">
        <v>2598.7727946053028</v>
      </c>
      <c r="BK55" s="42">
        <v>2539.7697114290991</v>
      </c>
      <c r="BL55" s="42">
        <v>2571.0005925357577</v>
      </c>
      <c r="BM55" s="42">
        <v>2531.4066116598851</v>
      </c>
      <c r="BN55" s="42">
        <v>2570.0794224880669</v>
      </c>
      <c r="BO55" s="42">
        <v>2529.9157583525034</v>
      </c>
      <c r="BP55" s="42">
        <v>2617.9931861974028</v>
      </c>
      <c r="BQ55" s="42">
        <v>1798.3218863978118</v>
      </c>
      <c r="BR55" s="42">
        <v>1936.4171363535208</v>
      </c>
      <c r="BS55" s="42">
        <v>2314.6379282545613</v>
      </c>
      <c r="BT55" s="42">
        <v>2188.3733209531642</v>
      </c>
      <c r="BU55" s="42">
        <v>2136.9697068052824</v>
      </c>
      <c r="BV55" s="42">
        <v>2299.4726391928548</v>
      </c>
      <c r="BW55" s="42">
        <v>2257.4324111667261</v>
      </c>
      <c r="BX55" s="42">
        <v>2348.3934539164547</v>
      </c>
      <c r="BY55" s="42">
        <v>2464.6400014407945</v>
      </c>
      <c r="BZ55" s="42">
        <v>2443.6441501317495</v>
      </c>
      <c r="CA55" s="42">
        <v>2491.0322547668934</v>
      </c>
      <c r="CB55" s="42">
        <v>2435.2005863622062</v>
      </c>
      <c r="CC55" s="42">
        <v>2404.4966041860862</v>
      </c>
      <c r="CD55" s="42">
        <v>2369.5709498760825</v>
      </c>
      <c r="CE55" s="42">
        <v>2266.4884247689342</v>
      </c>
      <c r="CF55" s="42">
        <v>2252.5097850368179</v>
      </c>
      <c r="CG55" s="42">
        <v>2359.7256858087944</v>
      </c>
      <c r="CH55" s="42">
        <v>2247.1656579218857</v>
      </c>
      <c r="CI55" s="42">
        <v>2221.343387460684</v>
      </c>
      <c r="CJ55" s="42">
        <v>2254.6261864094722</v>
      </c>
    </row>
    <row r="56" spans="1:88" ht="20.149999999999999" customHeight="1" thickBot="1" x14ac:dyDescent="0.3">
      <c r="A56" s="14" t="s">
        <v>48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49"/>
      <c r="S56" s="14"/>
      <c r="T56" s="14"/>
      <c r="U56" s="14"/>
      <c r="V56" s="14"/>
      <c r="W56" s="14"/>
      <c r="X56" s="14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4"/>
      <c r="AY56" s="14"/>
      <c r="AZ56" s="14"/>
      <c r="BA56" s="33"/>
      <c r="BB56" s="15"/>
      <c r="BC56" s="15"/>
      <c r="BD56" s="15"/>
      <c r="BE56" s="15"/>
      <c r="BF56" s="15"/>
      <c r="BG56" s="15"/>
      <c r="BH56" s="15"/>
      <c r="BI56" s="15"/>
      <c r="BJ56" s="15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</row>
    <row r="57" spans="1:88" ht="20.149999999999999" customHeight="1" x14ac:dyDescent="0.25">
      <c r="A57" s="12" t="s">
        <v>49</v>
      </c>
      <c r="B57" s="42">
        <v>1401.2710045484657</v>
      </c>
      <c r="C57" s="42">
        <v>1391.0036483340423</v>
      </c>
      <c r="D57" s="42">
        <v>1242.7582990519395</v>
      </c>
      <c r="E57" s="42">
        <v>1399.2986436678839</v>
      </c>
      <c r="F57" s="42">
        <v>1379.3886496925238</v>
      </c>
      <c r="G57" s="42">
        <v>1338.4575467893355</v>
      </c>
      <c r="H57" s="42">
        <v>1192.8225893513181</v>
      </c>
      <c r="I57" s="42">
        <v>1254.9072292765936</v>
      </c>
      <c r="J57" s="42">
        <v>1302.1977705184026</v>
      </c>
      <c r="K57" s="42">
        <v>1359.6235813557973</v>
      </c>
      <c r="L57" s="13">
        <v>1160.2386407439521</v>
      </c>
      <c r="M57" s="13">
        <v>1410.91175197811</v>
      </c>
      <c r="N57" s="13">
        <v>1276.3934964020314</v>
      </c>
      <c r="O57" s="13">
        <v>1337.394655878225</v>
      </c>
      <c r="P57" s="13">
        <v>1143.7721574883437</v>
      </c>
      <c r="Q57" s="13">
        <v>1359.6642027934954</v>
      </c>
      <c r="R57" s="48">
        <f t="shared" si="5"/>
        <v>1303.4721100912329</v>
      </c>
      <c r="S57" s="7">
        <v>1247.2800173889707</v>
      </c>
      <c r="T57" s="13">
        <v>1063.6263843316638</v>
      </c>
      <c r="U57" s="13">
        <v>1177.5003200291137</v>
      </c>
      <c r="V57" s="13">
        <v>1218.4774641173105</v>
      </c>
      <c r="W57" s="13">
        <v>2178.3413755843685</v>
      </c>
      <c r="X57" s="13">
        <v>1238.6309311031096</v>
      </c>
      <c r="Y57" s="13">
        <v>1405.8574190621378</v>
      </c>
      <c r="Z57" s="13">
        <v>1378.4796555735177</v>
      </c>
      <c r="AA57" s="13">
        <v>1306.1841549771755</v>
      </c>
      <c r="AB57" s="13">
        <v>1162.6215394764527</v>
      </c>
      <c r="AC57" s="13">
        <v>1273.2757089011614</v>
      </c>
      <c r="AD57" s="13">
        <v>1249.5289133819608</v>
      </c>
      <c r="AE57" s="13">
        <v>1214.9112097610584</v>
      </c>
      <c r="AF57" s="13">
        <v>1074.8395694727815</v>
      </c>
      <c r="AG57" s="13">
        <v>1201.5106589753814</v>
      </c>
      <c r="AH57" s="13">
        <v>1274.8742086705543</v>
      </c>
      <c r="AI57" s="13">
        <v>1234.1767843484386</v>
      </c>
      <c r="AJ57" s="13">
        <v>1112.4872421241844</v>
      </c>
      <c r="AK57" s="13">
        <v>1336.6620058962719</v>
      </c>
      <c r="AL57" s="13">
        <v>1390.7864391832691</v>
      </c>
      <c r="AM57" s="13">
        <v>1302.9297061373243</v>
      </c>
      <c r="AN57" s="13">
        <v>1168.2950666819277</v>
      </c>
      <c r="AO57" s="13">
        <v>1395.658995392045</v>
      </c>
      <c r="AP57" s="13">
        <v>1268.5010435969634</v>
      </c>
      <c r="AQ57" s="13">
        <v>1274.5147585070713</v>
      </c>
      <c r="AR57" s="13">
        <v>1141.845440220246</v>
      </c>
      <c r="AS57" s="13">
        <v>1286.5120374550124</v>
      </c>
      <c r="AT57" s="13">
        <v>1252.3736344693609</v>
      </c>
      <c r="AU57" s="13">
        <v>1332.61968326805</v>
      </c>
      <c r="AV57" s="13">
        <v>1205.6144876245655</v>
      </c>
      <c r="AW57" s="13">
        <v>1337.6989475606561</v>
      </c>
      <c r="AX57" s="51">
        <f t="shared" ref="AX57:AX62" si="22">+(AW57+BA57)/2</f>
        <v>1442.1226979802225</v>
      </c>
      <c r="AY57" s="51">
        <f t="shared" ref="AY57:AY62" si="23">+(AX57+BA57)/2</f>
        <v>1494.3345731900058</v>
      </c>
      <c r="AZ57" s="51">
        <f t="shared" si="2"/>
        <v>1520.4405107948974</v>
      </c>
      <c r="BA57" s="31">
        <v>1546.5464483997889</v>
      </c>
      <c r="BB57" s="13">
        <v>1495.4961472844213</v>
      </c>
      <c r="BC57" s="13">
        <v>1540.6157776244772</v>
      </c>
      <c r="BD57" s="13">
        <v>1382.9034636671372</v>
      </c>
      <c r="BE57" s="13">
        <v>1602.3701482000001</v>
      </c>
      <c r="BF57" s="13">
        <v>1593.0125484</v>
      </c>
      <c r="BG57" s="13">
        <v>1607.7977899999998</v>
      </c>
      <c r="BH57" s="13">
        <v>1455.8038999999999</v>
      </c>
      <c r="BI57" s="13">
        <v>1702.1652421000001</v>
      </c>
      <c r="BJ57" s="13">
        <v>1642.24</v>
      </c>
      <c r="BK57" s="42">
        <v>1667.7750000000001</v>
      </c>
      <c r="BL57" s="42">
        <v>11947.316999999999</v>
      </c>
      <c r="BM57" s="42">
        <v>1927.9739999999999</v>
      </c>
      <c r="BN57" s="42">
        <v>1841.164023290507</v>
      </c>
      <c r="BO57" s="42">
        <v>1833.3510000000001</v>
      </c>
      <c r="BP57" s="42">
        <v>1792.441</v>
      </c>
      <c r="BQ57" s="42">
        <v>1555.028</v>
      </c>
      <c r="BR57" s="42">
        <v>1909.713</v>
      </c>
      <c r="BS57" s="42">
        <v>2009.4780000000001</v>
      </c>
      <c r="BT57" s="42">
        <v>1775.702</v>
      </c>
      <c r="BU57" s="42">
        <v>1851.77</v>
      </c>
      <c r="BV57" s="42">
        <v>1814.1949999999999</v>
      </c>
      <c r="BW57" s="42">
        <v>1742.403</v>
      </c>
      <c r="BX57" s="42">
        <v>1576.7529999999999</v>
      </c>
      <c r="BY57" s="42">
        <v>1839.048</v>
      </c>
      <c r="BZ57" s="42">
        <v>1817.857</v>
      </c>
      <c r="CA57" s="42">
        <v>1804.702</v>
      </c>
      <c r="CB57" s="42">
        <v>1708.5229999999999</v>
      </c>
      <c r="CC57" s="42">
        <v>1847.886</v>
      </c>
      <c r="CD57" s="42">
        <v>1750.68</v>
      </c>
      <c r="CE57" s="42">
        <v>1765.489</v>
      </c>
      <c r="CF57" s="42">
        <v>1730.4179999999999</v>
      </c>
      <c r="CG57" s="42">
        <v>2068.4319999999998</v>
      </c>
      <c r="CH57" s="42">
        <v>1871.663</v>
      </c>
      <c r="CI57" s="42">
        <v>1812.789</v>
      </c>
      <c r="CJ57" s="42">
        <v>1718.417083492046</v>
      </c>
    </row>
    <row r="58" spans="1:88" ht="20.149999999999999" customHeight="1" x14ac:dyDescent="0.25">
      <c r="A58" s="12" t="s">
        <v>50</v>
      </c>
      <c r="B58" s="42">
        <v>2097.301178635762</v>
      </c>
      <c r="C58" s="42">
        <v>2158.7356783233695</v>
      </c>
      <c r="D58" s="42">
        <v>1929.5148662519409</v>
      </c>
      <c r="E58" s="42">
        <v>2137.2116180157905</v>
      </c>
      <c r="F58" s="42">
        <v>2101.7900392436422</v>
      </c>
      <c r="G58" s="42">
        <v>2116.6298711710788</v>
      </c>
      <c r="H58" s="42">
        <v>1823.067218662944</v>
      </c>
      <c r="I58" s="42">
        <v>2091.9465407214252</v>
      </c>
      <c r="J58" s="42">
        <v>2100.9544379052522</v>
      </c>
      <c r="K58" s="42">
        <v>2066.7605097053056</v>
      </c>
      <c r="L58" s="13">
        <v>1845.9665137298193</v>
      </c>
      <c r="M58" s="13">
        <v>2159.0056718928577</v>
      </c>
      <c r="N58" s="13">
        <v>2092.3089922390513</v>
      </c>
      <c r="O58" s="13">
        <v>2070.1611776798295</v>
      </c>
      <c r="P58" s="13">
        <v>1777.6465141420836</v>
      </c>
      <c r="Q58" s="13">
        <v>2075.7052577802165</v>
      </c>
      <c r="R58" s="48">
        <f t="shared" si="5"/>
        <v>2025.2061328591972</v>
      </c>
      <c r="S58" s="7">
        <v>1974.7070079381779</v>
      </c>
      <c r="T58" s="13">
        <v>1907.0718836361029</v>
      </c>
      <c r="U58" s="13">
        <v>2073.1633277029164</v>
      </c>
      <c r="V58" s="13">
        <v>2000.7910062275662</v>
      </c>
      <c r="W58" s="13">
        <v>3280.9277496910281</v>
      </c>
      <c r="X58" s="13">
        <v>2011.8876624915436</v>
      </c>
      <c r="Y58" s="13">
        <v>2175.3340297039304</v>
      </c>
      <c r="Z58" s="13">
        <v>2197.91096499074</v>
      </c>
      <c r="AA58" s="13">
        <v>2122.2258761589842</v>
      </c>
      <c r="AB58" s="13">
        <v>1924.876833991126</v>
      </c>
      <c r="AC58" s="13">
        <v>2266.0125147082472</v>
      </c>
      <c r="AD58" s="13">
        <v>2229.7276340582162</v>
      </c>
      <c r="AE58" s="13">
        <v>2142.2745548257135</v>
      </c>
      <c r="AF58" s="13">
        <v>2036.5584533417377</v>
      </c>
      <c r="AG58" s="13">
        <v>2269.8409297038506</v>
      </c>
      <c r="AH58" s="13">
        <v>2226.1423931842505</v>
      </c>
      <c r="AI58" s="13">
        <v>2278.9157585515554</v>
      </c>
      <c r="AJ58" s="13">
        <v>2039.5151680042932</v>
      </c>
      <c r="AK58" s="13">
        <v>2366.7419915761334</v>
      </c>
      <c r="AL58" s="13">
        <v>2317.5743537027552</v>
      </c>
      <c r="AM58" s="13">
        <v>2317.8194224042072</v>
      </c>
      <c r="AN58" s="13">
        <v>2013.3847299025813</v>
      </c>
      <c r="AO58" s="13">
        <v>2378.7151363759231</v>
      </c>
      <c r="AP58" s="13">
        <v>2419.8855098405684</v>
      </c>
      <c r="AQ58" s="13">
        <v>2290.9641445355719</v>
      </c>
      <c r="AR58" s="13">
        <v>2020.4106395788976</v>
      </c>
      <c r="AS58" s="13">
        <v>2484.6529654110614</v>
      </c>
      <c r="AT58" s="13">
        <v>2381.7404975514037</v>
      </c>
      <c r="AU58" s="13">
        <v>2441.7291840321359</v>
      </c>
      <c r="AV58" s="13">
        <v>2106.2624246707378</v>
      </c>
      <c r="AW58" s="13">
        <v>2463.8251202022402</v>
      </c>
      <c r="AX58" s="51">
        <f t="shared" si="22"/>
        <v>2590.7786861001841</v>
      </c>
      <c r="AY58" s="51">
        <f t="shared" si="23"/>
        <v>2654.2554690491561</v>
      </c>
      <c r="AZ58" s="51">
        <f t="shared" si="2"/>
        <v>2685.9938605236421</v>
      </c>
      <c r="BA58" s="31">
        <v>2717.7322519981285</v>
      </c>
      <c r="BB58" s="13">
        <v>2567.1850515811889</v>
      </c>
      <c r="BC58" s="13">
        <v>2627.6282705056196</v>
      </c>
      <c r="BD58" s="13">
        <v>2296.9448825696804</v>
      </c>
      <c r="BE58" s="13">
        <v>2760.6543560000005</v>
      </c>
      <c r="BF58" s="13">
        <v>2629.2610070999999</v>
      </c>
      <c r="BG58" s="13">
        <v>2819.0251399999997</v>
      </c>
      <c r="BH58" s="13">
        <v>2390.7245400000002</v>
      </c>
      <c r="BI58" s="13">
        <v>2782.7400638999998</v>
      </c>
      <c r="BJ58" s="13">
        <v>2658.2840000000001</v>
      </c>
      <c r="BK58" s="42">
        <v>2734.1080000000002</v>
      </c>
      <c r="BL58" s="42">
        <v>1661.018</v>
      </c>
      <c r="BM58" s="42">
        <v>2954.3910000000001</v>
      </c>
      <c r="BN58" s="42">
        <v>2894.5820910241455</v>
      </c>
      <c r="BO58" s="42">
        <v>2817.0819999999999</v>
      </c>
      <c r="BP58" s="42">
        <v>2563.4369999999999</v>
      </c>
      <c r="BQ58" s="42">
        <v>2124.2539999999999</v>
      </c>
      <c r="BR58" s="42">
        <v>2442.7249999999999</v>
      </c>
      <c r="BS58" s="42">
        <v>2654.569</v>
      </c>
      <c r="BT58" s="42">
        <v>2505.4299999999998</v>
      </c>
      <c r="BU58" s="42">
        <v>2867.1</v>
      </c>
      <c r="BV58" s="42">
        <v>2923.6179999999999</v>
      </c>
      <c r="BW58" s="42">
        <v>3108.7469999999998</v>
      </c>
      <c r="BX58" s="42">
        <v>2619.8009999999999</v>
      </c>
      <c r="BY58" s="42">
        <v>3370.2310000000002</v>
      </c>
      <c r="BZ58" s="42">
        <v>2871.5340000000001</v>
      </c>
      <c r="CA58" s="42">
        <v>3066.5970000000002</v>
      </c>
      <c r="CB58" s="42">
        <v>2724.9369999999999</v>
      </c>
      <c r="CC58" s="42">
        <v>3259.2890000000002</v>
      </c>
      <c r="CD58" s="42">
        <v>3150.9479999999999</v>
      </c>
      <c r="CE58" s="42">
        <v>3303.8519999999999</v>
      </c>
      <c r="CF58" s="42">
        <v>2900.951</v>
      </c>
      <c r="CG58" s="42">
        <v>3264.3409999999999</v>
      </c>
      <c r="CH58" s="42">
        <v>3020.4490000000001</v>
      </c>
      <c r="CI58" s="42">
        <v>3286.808</v>
      </c>
      <c r="CJ58" s="42">
        <v>3021.4498685139079</v>
      </c>
    </row>
    <row r="59" spans="1:88" ht="20.149999999999999" customHeight="1" x14ac:dyDescent="0.25">
      <c r="A59" s="12" t="s">
        <v>51</v>
      </c>
      <c r="B59" s="42">
        <v>2232.1562415587418</v>
      </c>
      <c r="C59" s="42">
        <v>2397.1070091431525</v>
      </c>
      <c r="D59" s="42">
        <v>2173.3094977436085</v>
      </c>
      <c r="E59" s="42">
        <v>2431.6291807502771</v>
      </c>
      <c r="F59" s="42">
        <v>2561.3325058913488</v>
      </c>
      <c r="G59" s="42">
        <v>2681.7125795186143</v>
      </c>
      <c r="H59" s="42">
        <v>2344.0887323200982</v>
      </c>
      <c r="I59" s="42">
        <v>2721.9042009396012</v>
      </c>
      <c r="J59" s="42">
        <v>2693.8572719164799</v>
      </c>
      <c r="K59" s="42">
        <v>2727.3862594642101</v>
      </c>
      <c r="L59" s="13">
        <v>2542.0220434470252</v>
      </c>
      <c r="M59" s="13">
        <v>2798.8746281703329</v>
      </c>
      <c r="N59" s="13">
        <v>2927.1408331097946</v>
      </c>
      <c r="O59" s="13">
        <v>3024.2960023676987</v>
      </c>
      <c r="P59" s="13">
        <v>2861.2223259876837</v>
      </c>
      <c r="Q59" s="13">
        <v>3089.9432415213828</v>
      </c>
      <c r="R59" s="48">
        <f t="shared" si="5"/>
        <v>3137.3493327952165</v>
      </c>
      <c r="S59" s="7">
        <v>3184.7554240690502</v>
      </c>
      <c r="T59" s="13">
        <v>2884.6920216837216</v>
      </c>
      <c r="U59" s="13">
        <v>3249.3354458620506</v>
      </c>
      <c r="V59" s="13">
        <v>3298.8199117653521</v>
      </c>
      <c r="W59" s="13">
        <v>2675.1296044505661</v>
      </c>
      <c r="X59" s="13">
        <v>3451.8005585845372</v>
      </c>
      <c r="Y59" s="13">
        <v>3409.4798748061644</v>
      </c>
      <c r="Z59" s="13">
        <v>3407.645239255969</v>
      </c>
      <c r="AA59" s="13">
        <v>3402.5634950532681</v>
      </c>
      <c r="AB59" s="13">
        <v>3249.5764719785593</v>
      </c>
      <c r="AC59" s="13">
        <v>3490.5851588824748</v>
      </c>
      <c r="AD59" s="13">
        <v>3470.7780283863895</v>
      </c>
      <c r="AE59" s="13">
        <v>3660.3364619272697</v>
      </c>
      <c r="AF59" s="13">
        <v>3403.2918640444059</v>
      </c>
      <c r="AG59" s="13">
        <v>3808.7275538664876</v>
      </c>
      <c r="AH59" s="13">
        <v>3673.7356119781948</v>
      </c>
      <c r="AI59" s="13">
        <v>3720.4760958205879</v>
      </c>
      <c r="AJ59" s="13">
        <v>3460.6780605784047</v>
      </c>
      <c r="AK59" s="13">
        <v>3660.5542973634165</v>
      </c>
      <c r="AL59" s="13">
        <v>3805.203935327881</v>
      </c>
      <c r="AM59" s="13">
        <v>3810.6248008176353</v>
      </c>
      <c r="AN59" s="13">
        <v>3576.7414744027537</v>
      </c>
      <c r="AO59" s="13">
        <v>3952.6689008760395</v>
      </c>
      <c r="AP59" s="13">
        <v>3871.3724907468654</v>
      </c>
      <c r="AQ59" s="13">
        <v>3940.9615880764968</v>
      </c>
      <c r="AR59" s="13">
        <v>3693.3756190188014</v>
      </c>
      <c r="AS59" s="13">
        <v>3770.3496876579848</v>
      </c>
      <c r="AT59" s="13">
        <v>3831.1088184161922</v>
      </c>
      <c r="AU59" s="13">
        <v>3947.6625461047538</v>
      </c>
      <c r="AV59" s="13">
        <v>3577.151178479417</v>
      </c>
      <c r="AW59" s="13">
        <v>3967.3736504306994</v>
      </c>
      <c r="AX59" s="51">
        <f t="shared" si="22"/>
        <v>3854.3124766145911</v>
      </c>
      <c r="AY59" s="51">
        <f t="shared" si="23"/>
        <v>3797.7818897065372</v>
      </c>
      <c r="AZ59" s="51">
        <f t="shared" si="2"/>
        <v>3769.5165962525098</v>
      </c>
      <c r="BA59" s="31">
        <v>3741.2513027984828</v>
      </c>
      <c r="BB59" s="13">
        <v>3928.6688555475293</v>
      </c>
      <c r="BC59" s="13">
        <v>3867.6317473292979</v>
      </c>
      <c r="BD59" s="13">
        <v>3575.7069156346784</v>
      </c>
      <c r="BE59" s="13">
        <v>3660.0657219999998</v>
      </c>
      <c r="BF59" s="13">
        <v>3880.5890487000001</v>
      </c>
      <c r="BG59" s="13">
        <v>3947.5132899999999</v>
      </c>
      <c r="BH59" s="13">
        <v>3672.2216299999995</v>
      </c>
      <c r="BI59" s="13">
        <v>3798.5358601000003</v>
      </c>
      <c r="BJ59" s="13">
        <v>3936.3130000000001</v>
      </c>
      <c r="BK59" s="42">
        <v>3848.06</v>
      </c>
      <c r="BL59" s="42">
        <v>2390.6660000000002</v>
      </c>
      <c r="BM59" s="42">
        <v>3845.8679999999999</v>
      </c>
      <c r="BN59" s="42">
        <v>3894.3565553709773</v>
      </c>
      <c r="BO59" s="42">
        <v>4002.4160000000002</v>
      </c>
      <c r="BP59" s="42">
        <v>3539.4920000000002</v>
      </c>
      <c r="BQ59" s="42">
        <v>2246.3110000000001</v>
      </c>
      <c r="BR59" s="42">
        <v>2969.2150000000001</v>
      </c>
      <c r="BS59" s="42">
        <v>3324.4929999999999</v>
      </c>
      <c r="BT59" s="42">
        <v>3675.163</v>
      </c>
      <c r="BU59" s="42">
        <v>3768.1849999999999</v>
      </c>
      <c r="BV59" s="42">
        <v>4059.0050000000001</v>
      </c>
      <c r="BW59" s="42">
        <v>4293.7049999999999</v>
      </c>
      <c r="BX59" s="42">
        <v>3997.3789999999999</v>
      </c>
      <c r="BY59" s="42">
        <v>4272.366</v>
      </c>
      <c r="BZ59" s="42">
        <v>4444.03</v>
      </c>
      <c r="CA59" s="42">
        <v>4490.8580000000002</v>
      </c>
      <c r="CB59" s="42">
        <v>4321.9009999999998</v>
      </c>
      <c r="CC59" s="42">
        <v>4356.0910000000003</v>
      </c>
      <c r="CD59" s="42">
        <v>4607</v>
      </c>
      <c r="CE59" s="42">
        <v>4510.6729999999998</v>
      </c>
      <c r="CF59" s="42">
        <v>4024.1529999999998</v>
      </c>
      <c r="CG59" s="42">
        <v>4485.5619999999999</v>
      </c>
      <c r="CH59" s="42">
        <v>4746.2709999999997</v>
      </c>
      <c r="CI59" s="42">
        <v>4734.8</v>
      </c>
      <c r="CJ59" s="42">
        <v>4278.0453437644119</v>
      </c>
    </row>
    <row r="60" spans="1:88" ht="20.149999999999999" customHeight="1" x14ac:dyDescent="0.25">
      <c r="A60" s="12" t="s">
        <v>52</v>
      </c>
      <c r="B60" s="42">
        <v>2017.9905033414843</v>
      </c>
      <c r="C60" s="42">
        <v>2075.8347570510605</v>
      </c>
      <c r="D60" s="42">
        <v>2127.3529285597233</v>
      </c>
      <c r="E60" s="42">
        <v>2173.4151996805695</v>
      </c>
      <c r="F60" s="42">
        <v>2234.9040991973989</v>
      </c>
      <c r="G60" s="42">
        <v>2250.2188777784345</v>
      </c>
      <c r="H60" s="42">
        <v>2240.0637758615799</v>
      </c>
      <c r="I60" s="42">
        <v>2348.7415090401755</v>
      </c>
      <c r="J60" s="42">
        <v>2495.1240461254265</v>
      </c>
      <c r="K60" s="42">
        <v>2493.5382181372916</v>
      </c>
      <c r="L60" s="13">
        <v>2395.38307164855</v>
      </c>
      <c r="M60" s="13">
        <v>2538.7582754273162</v>
      </c>
      <c r="N60" s="13">
        <v>2565.7391898613646</v>
      </c>
      <c r="O60" s="13">
        <v>2548.529479637682</v>
      </c>
      <c r="P60" s="13">
        <v>2420.6301556846347</v>
      </c>
      <c r="Q60" s="13">
        <v>2627.7338959387744</v>
      </c>
      <c r="R60" s="48">
        <f t="shared" si="5"/>
        <v>2638.2764749305879</v>
      </c>
      <c r="S60" s="7">
        <v>2648.819053922402</v>
      </c>
      <c r="T60" s="13">
        <v>2540.3784626226097</v>
      </c>
      <c r="U60" s="13">
        <v>2758.8869820245786</v>
      </c>
      <c r="V60" s="13">
        <v>2782.2446431619301</v>
      </c>
      <c r="W60" s="13">
        <v>920.11609388478348</v>
      </c>
      <c r="X60" s="13">
        <v>2719.8910715744505</v>
      </c>
      <c r="Y60" s="13">
        <v>2519.7991353818779</v>
      </c>
      <c r="Z60" s="13">
        <v>2644.7265810701733</v>
      </c>
      <c r="AA60" s="13">
        <v>2640.5809846017805</v>
      </c>
      <c r="AB60" s="13">
        <v>2546.5753817182303</v>
      </c>
      <c r="AC60" s="13">
        <v>2604.8035412743561</v>
      </c>
      <c r="AD60" s="13">
        <v>2678.2863469357126</v>
      </c>
      <c r="AE60" s="13">
        <v>2676.9073820238682</v>
      </c>
      <c r="AF60" s="13">
        <v>2535.900462677952</v>
      </c>
      <c r="AG60" s="13">
        <v>2713.4538455306088</v>
      </c>
      <c r="AH60" s="13">
        <v>2816.4397979867153</v>
      </c>
      <c r="AI60" s="13">
        <v>2769.729609711077</v>
      </c>
      <c r="AJ60" s="13">
        <v>2558.7253246425007</v>
      </c>
      <c r="AK60" s="13">
        <v>2668.5588038115575</v>
      </c>
      <c r="AL60" s="13">
        <v>2649.9452055762963</v>
      </c>
      <c r="AM60" s="13">
        <v>2727.1990645973842</v>
      </c>
      <c r="AN60" s="13">
        <v>2601.7702617002178</v>
      </c>
      <c r="AO60" s="13">
        <v>2624.6515019477233</v>
      </c>
      <c r="AP60" s="13">
        <v>2633.5506834902753</v>
      </c>
      <c r="AQ60" s="13">
        <v>2702.3809159354232</v>
      </c>
      <c r="AR60" s="13">
        <v>2552.1341955454709</v>
      </c>
      <c r="AS60" s="13">
        <v>2485.0757214448849</v>
      </c>
      <c r="AT60" s="13">
        <v>2569.372416246918</v>
      </c>
      <c r="AU60" s="13">
        <v>2479.0823807208726</v>
      </c>
      <c r="AV60" s="13">
        <v>2561.3584514409272</v>
      </c>
      <c r="AW60" s="13">
        <v>2493.4962430451665</v>
      </c>
      <c r="AX60" s="51">
        <f t="shared" si="22"/>
        <v>2443.6717872128088</v>
      </c>
      <c r="AY60" s="51">
        <f t="shared" si="23"/>
        <v>2418.75955929663</v>
      </c>
      <c r="AZ60" s="51">
        <f t="shared" si="2"/>
        <v>2406.3034453385408</v>
      </c>
      <c r="BA60" s="31">
        <v>2393.8473313804511</v>
      </c>
      <c r="BB60" s="13">
        <v>2539.3481613230597</v>
      </c>
      <c r="BC60" s="13">
        <v>2531.0066469590643</v>
      </c>
      <c r="BD60" s="13">
        <v>2430.5244929272167</v>
      </c>
      <c r="BE60" s="13">
        <v>2531.5864550000006</v>
      </c>
      <c r="BF60" s="13">
        <v>2600.6438640000001</v>
      </c>
      <c r="BG60" s="13">
        <v>2596.8827099999999</v>
      </c>
      <c r="BH60" s="13">
        <v>2463.8596499999999</v>
      </c>
      <c r="BI60" s="13">
        <v>2437.1442047</v>
      </c>
      <c r="BJ60" s="13">
        <v>2451.1109999999999</v>
      </c>
      <c r="BK60" s="42">
        <v>2545.297</v>
      </c>
      <c r="BL60" s="42">
        <v>3688.4740000000002</v>
      </c>
      <c r="BM60" s="42">
        <v>2367.5540000000001</v>
      </c>
      <c r="BN60" s="42">
        <v>2387.0348209820236</v>
      </c>
      <c r="BO60" s="42">
        <v>2530.2139999999999</v>
      </c>
      <c r="BP60" s="42">
        <v>2237.9169999999999</v>
      </c>
      <c r="BQ60" s="42">
        <v>1249.3620000000001</v>
      </c>
      <c r="BR60" s="42">
        <v>1746.5060000000001</v>
      </c>
      <c r="BS60" s="42">
        <v>2274.2460000000001</v>
      </c>
      <c r="BT60" s="42">
        <v>2158.6219999999998</v>
      </c>
      <c r="BU60" s="42">
        <v>2233.636</v>
      </c>
      <c r="BV60" s="42">
        <v>2422.5369999999998</v>
      </c>
      <c r="BW60" s="42">
        <v>2481.174</v>
      </c>
      <c r="BX60" s="42">
        <v>2424.4479999999999</v>
      </c>
      <c r="BY60" s="42">
        <v>2491.3910000000001</v>
      </c>
      <c r="BZ60" s="42">
        <v>2605.7069999999999</v>
      </c>
      <c r="CA60" s="42">
        <v>2613.9380000000001</v>
      </c>
      <c r="CB60" s="42">
        <v>2579.047</v>
      </c>
      <c r="CC60" s="42">
        <v>2614.7530000000002</v>
      </c>
      <c r="CD60" s="42">
        <v>2728.44</v>
      </c>
      <c r="CE60" s="42">
        <v>2887.529</v>
      </c>
      <c r="CF60" s="42">
        <v>2491.5770000000002</v>
      </c>
      <c r="CG60" s="42">
        <v>2553.395</v>
      </c>
      <c r="CH60" s="42">
        <v>2722.1880000000001</v>
      </c>
      <c r="CI60" s="42">
        <v>2779.8939999999998</v>
      </c>
      <c r="CJ60" s="42">
        <v>2512.018916663028</v>
      </c>
    </row>
    <row r="61" spans="1:88" ht="20.149999999999999" customHeight="1" x14ac:dyDescent="0.25">
      <c r="A61" s="12" t="s">
        <v>53</v>
      </c>
      <c r="B61" s="42">
        <v>1004.2142573852185</v>
      </c>
      <c r="C61" s="42">
        <v>996.96788562612096</v>
      </c>
      <c r="D61" s="42">
        <v>1083.4866711582526</v>
      </c>
      <c r="E61" s="42">
        <v>993.32181793020743</v>
      </c>
      <c r="F61" s="42">
        <v>969.65469259174597</v>
      </c>
      <c r="G61" s="42">
        <v>1056.5249819902428</v>
      </c>
      <c r="H61" s="42">
        <v>1005.2265937933606</v>
      </c>
      <c r="I61" s="42">
        <v>1000.1550215106377</v>
      </c>
      <c r="J61" s="42">
        <v>1018.2930157972042</v>
      </c>
      <c r="K61" s="42">
        <v>1103.7792304683958</v>
      </c>
      <c r="L61" s="13">
        <v>1038.1163066601227</v>
      </c>
      <c r="M61" s="13">
        <v>1012.2385710025679</v>
      </c>
      <c r="N61" s="13">
        <v>977.35360825567648</v>
      </c>
      <c r="O61" s="13">
        <v>1027.4461672577347</v>
      </c>
      <c r="P61" s="13">
        <v>1004.3564796193516</v>
      </c>
      <c r="Q61" s="13">
        <v>965.46462970766834</v>
      </c>
      <c r="R61" s="48">
        <f t="shared" si="5"/>
        <v>1014.9672054779528</v>
      </c>
      <c r="S61" s="7">
        <v>1064.4697812482373</v>
      </c>
      <c r="T61" s="13">
        <v>1040.6628338388462</v>
      </c>
      <c r="U61" s="13">
        <v>958.48237611741558</v>
      </c>
      <c r="V61" s="13">
        <v>854.73757471535782</v>
      </c>
      <c r="W61" s="13">
        <v>304.54625779452033</v>
      </c>
      <c r="X61" s="13">
        <v>936.29334209299088</v>
      </c>
      <c r="Y61" s="13">
        <v>839.39912690351343</v>
      </c>
      <c r="Z61" s="13">
        <v>897.29007910899179</v>
      </c>
      <c r="AA61" s="13">
        <v>935.50513286437888</v>
      </c>
      <c r="AB61" s="13">
        <v>846.92275898378603</v>
      </c>
      <c r="AC61" s="13">
        <v>879.30438423301428</v>
      </c>
      <c r="AD61" s="13">
        <v>868.24950194287192</v>
      </c>
      <c r="AE61" s="13">
        <v>867.90871798965611</v>
      </c>
      <c r="AF61" s="13">
        <v>842.09281923410003</v>
      </c>
      <c r="AG61" s="13">
        <v>864.94635480328918</v>
      </c>
      <c r="AH61" s="13">
        <v>835.57818088249007</v>
      </c>
      <c r="AI61" s="13">
        <v>839.47958602779693</v>
      </c>
      <c r="AJ61" s="13">
        <v>798.36276347963008</v>
      </c>
      <c r="AK61" s="13">
        <v>832.21079048754893</v>
      </c>
      <c r="AL61" s="13">
        <v>786.45405878888403</v>
      </c>
      <c r="AM61" s="13">
        <v>839.25990676369281</v>
      </c>
      <c r="AN61" s="13">
        <v>768.22883939941869</v>
      </c>
      <c r="AO61" s="13">
        <v>739.18255645510612</v>
      </c>
      <c r="AP61" s="13">
        <v>739.65231969520687</v>
      </c>
      <c r="AQ61" s="13">
        <v>753.738273663271</v>
      </c>
      <c r="AR61" s="13">
        <v>701.53448933986806</v>
      </c>
      <c r="AS61" s="13">
        <v>690.95850105360819</v>
      </c>
      <c r="AT61" s="13">
        <v>651.62909887884666</v>
      </c>
      <c r="AU61" s="13">
        <v>714.77699339014146</v>
      </c>
      <c r="AV61" s="13">
        <v>691.80542508893836</v>
      </c>
      <c r="AW61" s="13">
        <v>643.95734571298772</v>
      </c>
      <c r="AX61" s="51">
        <f t="shared" si="22"/>
        <v>671.76791104419294</v>
      </c>
      <c r="AY61" s="51">
        <f t="shared" si="23"/>
        <v>685.67319370979556</v>
      </c>
      <c r="AZ61" s="51">
        <f t="shared" si="2"/>
        <v>692.62583504259692</v>
      </c>
      <c r="BA61" s="31">
        <v>699.57847637539817</v>
      </c>
      <c r="BB61" s="13">
        <v>721.9254821356742</v>
      </c>
      <c r="BC61" s="13">
        <v>680.4185891024955</v>
      </c>
      <c r="BD61" s="13">
        <v>693.65873537801826</v>
      </c>
      <c r="BE61" s="13">
        <v>639.88896560000012</v>
      </c>
      <c r="BF61" s="13">
        <v>685.98618270000009</v>
      </c>
      <c r="BG61" s="13">
        <v>730.33605</v>
      </c>
      <c r="BH61" s="13">
        <v>730.07749000000001</v>
      </c>
      <c r="BI61" s="13">
        <v>683.8063196999999</v>
      </c>
      <c r="BJ61" s="13">
        <v>708.52499999999998</v>
      </c>
      <c r="BK61" s="42">
        <v>667.63499999999999</v>
      </c>
      <c r="BL61" s="42">
        <v>2330.36</v>
      </c>
      <c r="BM61" s="42">
        <v>632.428</v>
      </c>
      <c r="BN61" s="42">
        <v>662.05091370891546</v>
      </c>
      <c r="BO61" s="42">
        <v>720.822</v>
      </c>
      <c r="BP61" s="42">
        <v>633.23699999999997</v>
      </c>
      <c r="BQ61" s="42">
        <v>344.358</v>
      </c>
      <c r="BR61" s="42">
        <v>437.01400000000001</v>
      </c>
      <c r="BS61" s="42">
        <v>508.00200000000001</v>
      </c>
      <c r="BT61" s="42">
        <v>609.57399999999996</v>
      </c>
      <c r="BU61" s="42">
        <v>631.71400000000006</v>
      </c>
      <c r="BV61" s="42">
        <v>576.92999999999995</v>
      </c>
      <c r="BW61" s="42">
        <v>658.76300000000003</v>
      </c>
      <c r="BX61" s="42">
        <v>631.851</v>
      </c>
      <c r="BY61" s="42">
        <v>704.91099999999994</v>
      </c>
      <c r="BZ61" s="42">
        <v>750.89300000000003</v>
      </c>
      <c r="CA61" s="42">
        <v>725.46400000000006</v>
      </c>
      <c r="CB61" s="42">
        <v>689.31600000000003</v>
      </c>
      <c r="CC61" s="42">
        <v>638.76400000000001</v>
      </c>
      <c r="CD61" s="42">
        <v>688.72400000000005</v>
      </c>
      <c r="CE61" s="42">
        <v>729.66300000000001</v>
      </c>
      <c r="CF61" s="42">
        <v>628.39200000000005</v>
      </c>
      <c r="CG61" s="42">
        <v>532.28599999999994</v>
      </c>
      <c r="CH61" s="42">
        <v>544.32000000000005</v>
      </c>
      <c r="CI61" s="42">
        <v>616.64099999999996</v>
      </c>
      <c r="CJ61" s="42">
        <v>626.94345453926871</v>
      </c>
    </row>
    <row r="62" spans="1:88" ht="20.149999999999999" customHeight="1" x14ac:dyDescent="0.25">
      <c r="A62" s="12" t="s">
        <v>54</v>
      </c>
      <c r="B62" s="42">
        <v>270.37711303998844</v>
      </c>
      <c r="C62" s="42">
        <v>230.71440909539604</v>
      </c>
      <c r="D62" s="42">
        <v>702.10180935416486</v>
      </c>
      <c r="E62" s="42">
        <v>230.43454757791929</v>
      </c>
      <c r="F62" s="42">
        <v>308.96502210537579</v>
      </c>
      <c r="G62" s="42">
        <v>226.99119194565242</v>
      </c>
      <c r="H62" s="42">
        <v>914.9550797735991</v>
      </c>
      <c r="I62" s="42">
        <v>218.91970418688766</v>
      </c>
      <c r="J62" s="42">
        <v>300.91375719967817</v>
      </c>
      <c r="K62" s="42">
        <v>263.81619690644112</v>
      </c>
      <c r="L62" s="13">
        <v>918.54044353955396</v>
      </c>
      <c r="M62" s="13">
        <v>238.4086626402983</v>
      </c>
      <c r="N62" s="13">
        <v>321.43836087512466</v>
      </c>
      <c r="O62" s="13">
        <v>290.08049019170926</v>
      </c>
      <c r="P62" s="13">
        <v>1034.5590248302899</v>
      </c>
      <c r="Q62" s="13">
        <v>269.29940514332793</v>
      </c>
      <c r="R62" s="48">
        <f t="shared" si="5"/>
        <v>261.85498341588021</v>
      </c>
      <c r="S62" s="7">
        <v>254.41056168843252</v>
      </c>
      <c r="T62" s="13">
        <v>927.89703631706698</v>
      </c>
      <c r="U62" s="13">
        <v>220.63139165609482</v>
      </c>
      <c r="V62" s="13">
        <v>271.15189535790091</v>
      </c>
      <c r="W62" s="13">
        <v>0</v>
      </c>
      <c r="X62" s="13">
        <v>289.61706489030274</v>
      </c>
      <c r="Y62" s="13">
        <v>241.88622977240016</v>
      </c>
      <c r="Z62" s="13">
        <v>0</v>
      </c>
      <c r="AA62" s="13">
        <v>282.97890642641977</v>
      </c>
      <c r="AB62" s="13">
        <v>954.04423566931439</v>
      </c>
      <c r="AC62" s="13">
        <v>256.5559644247241</v>
      </c>
      <c r="AD62" s="13">
        <v>312.72135477323224</v>
      </c>
      <c r="AE62" s="13">
        <v>264.72286407268808</v>
      </c>
      <c r="AF62" s="13">
        <v>945.89133455862918</v>
      </c>
      <c r="AG62" s="13">
        <v>238.20943095035281</v>
      </c>
      <c r="AH62" s="13">
        <v>344.51918142779095</v>
      </c>
      <c r="AI62" s="13">
        <v>263.20923949714336</v>
      </c>
      <c r="AJ62" s="13">
        <v>991.11322871652203</v>
      </c>
      <c r="AK62" s="13">
        <v>273.03657505592241</v>
      </c>
      <c r="AL62" s="13">
        <v>335.76742055242619</v>
      </c>
      <c r="AM62" s="13">
        <v>272.04322325874529</v>
      </c>
      <c r="AN62" s="13">
        <v>946.28584870632085</v>
      </c>
      <c r="AO62" s="13">
        <v>245.88581272618705</v>
      </c>
      <c r="AP62" s="13">
        <v>397.557583743907</v>
      </c>
      <c r="AQ62" s="13">
        <v>342.02070747062476</v>
      </c>
      <c r="AR62" s="13">
        <v>986.44157520364195</v>
      </c>
      <c r="AS62" s="13">
        <v>293.35745780426493</v>
      </c>
      <c r="AT62" s="13">
        <v>336.17863690248976</v>
      </c>
      <c r="AU62" s="13">
        <v>337.08572369158173</v>
      </c>
      <c r="AV62" s="13">
        <v>960.02470991267398</v>
      </c>
      <c r="AW62" s="13">
        <v>244.68312381588939</v>
      </c>
      <c r="AX62" s="51">
        <f t="shared" si="22"/>
        <v>309.06312099235726</v>
      </c>
      <c r="AY62" s="51">
        <f t="shared" si="23"/>
        <v>341.25311958059115</v>
      </c>
      <c r="AZ62" s="51">
        <f t="shared" si="2"/>
        <v>357.34811887470812</v>
      </c>
      <c r="BA62" s="31">
        <v>373.44311816882509</v>
      </c>
      <c r="BB62" s="35">
        <v>361.59420171641466</v>
      </c>
      <c r="BC62" s="35">
        <v>349.44935209232426</v>
      </c>
      <c r="BD62" s="35">
        <v>1081.0837151350365</v>
      </c>
      <c r="BE62" s="35">
        <v>316.48252740000004</v>
      </c>
      <c r="BF62" s="35">
        <v>421.30866959999997</v>
      </c>
      <c r="BG62" s="35">
        <v>309.77305999999993</v>
      </c>
      <c r="BH62" s="35">
        <v>1153.69472</v>
      </c>
      <c r="BI62" s="35">
        <v>353.20747549999999</v>
      </c>
      <c r="BJ62" s="35">
        <v>425.55099999999999</v>
      </c>
      <c r="BK62" s="35">
        <v>330.52199999999999</v>
      </c>
      <c r="BL62" s="35">
        <v>721.43100000000004</v>
      </c>
      <c r="BM62" s="35">
        <v>345.178</v>
      </c>
      <c r="BN62" s="35">
        <v>429.84390272567077</v>
      </c>
      <c r="BO62" s="35">
        <v>336.23399999999998</v>
      </c>
      <c r="BP62" s="35">
        <v>1278.6759999999999</v>
      </c>
      <c r="BQ62" s="35">
        <v>2026.7670000000001</v>
      </c>
      <c r="BR62" s="35">
        <v>1152.6759999999999</v>
      </c>
      <c r="BS62" s="35">
        <v>752.86099999999999</v>
      </c>
      <c r="BT62" s="35">
        <v>1257.4960000000001</v>
      </c>
      <c r="BU62" s="35">
        <v>629.07500000000005</v>
      </c>
      <c r="BV62" s="35">
        <v>607.25300000000004</v>
      </c>
      <c r="BW62" s="35">
        <v>358.79</v>
      </c>
      <c r="BX62" s="35">
        <v>1333.7449999999999</v>
      </c>
      <c r="BY62" s="35">
        <v>315.31799999999998</v>
      </c>
      <c r="BZ62" s="35">
        <v>432.08</v>
      </c>
      <c r="CA62" s="35">
        <v>359.54300000000001</v>
      </c>
      <c r="CB62" s="35">
        <v>1167.6369999999999</v>
      </c>
      <c r="CC62" s="35">
        <v>390.85599999999999</v>
      </c>
      <c r="CD62" s="35">
        <v>470.41</v>
      </c>
      <c r="CE62" s="35">
        <v>320.73099999999999</v>
      </c>
      <c r="CF62" s="35">
        <v>1338.4369999999999</v>
      </c>
      <c r="CG62" s="35">
        <v>393.88499999999999</v>
      </c>
      <c r="CH62" s="35">
        <v>463.149</v>
      </c>
      <c r="CI62" s="35">
        <v>365.55200000000002</v>
      </c>
      <c r="CJ62" s="35">
        <v>1101.9343330273373</v>
      </c>
    </row>
    <row r="63" spans="1:88" ht="20.149999999999999" customHeight="1" thickBot="1" x14ac:dyDescent="0.3">
      <c r="A63" s="14" t="s">
        <v>61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49"/>
      <c r="S63" s="14"/>
      <c r="T63" s="14"/>
      <c r="U63" s="14"/>
      <c r="V63" s="14"/>
      <c r="W63" s="14"/>
      <c r="X63" s="14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4"/>
      <c r="AY63" s="14"/>
      <c r="AZ63" s="14"/>
      <c r="BA63" s="33"/>
      <c r="BB63" s="15"/>
      <c r="BC63" s="15"/>
      <c r="BD63" s="15"/>
      <c r="BE63" s="15"/>
      <c r="BF63" s="15"/>
      <c r="BG63" s="15"/>
      <c r="BH63" s="15"/>
      <c r="BI63" s="15"/>
      <c r="BJ63" s="15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</row>
    <row r="64" spans="1:88" ht="20.149999999999999" customHeight="1" x14ac:dyDescent="0.25">
      <c r="A64" s="12" t="s">
        <v>67</v>
      </c>
      <c r="B64" s="42">
        <v>1802.678581396963</v>
      </c>
      <c r="C64" s="42">
        <v>1889.4173656620417</v>
      </c>
      <c r="D64" s="42">
        <v>1857.8444427054114</v>
      </c>
      <c r="E64" s="42">
        <v>1773.3096462619101</v>
      </c>
      <c r="F64" s="42">
        <v>1869.5922204084525</v>
      </c>
      <c r="G64" s="42">
        <v>1968.3696887786605</v>
      </c>
      <c r="H64" s="42">
        <v>1840.1264638030191</v>
      </c>
      <c r="I64" s="42">
        <v>1840.2006843469283</v>
      </c>
      <c r="J64" s="42">
        <v>1933.0499966064845</v>
      </c>
      <c r="K64" s="42">
        <v>1942.4222735359613</v>
      </c>
      <c r="L64" s="13">
        <v>1878.3934175347022</v>
      </c>
      <c r="M64" s="13">
        <v>1852.7876069968561</v>
      </c>
      <c r="N64" s="13">
        <v>1914.5499927402825</v>
      </c>
      <c r="O64" s="13">
        <v>1957.7348244301224</v>
      </c>
      <c r="P64" s="13">
        <v>1908.1956174125644</v>
      </c>
      <c r="Q64" s="13">
        <v>1920.8567544186071</v>
      </c>
      <c r="R64" s="35">
        <f t="shared" si="5"/>
        <v>1923.7747097176211</v>
      </c>
      <c r="S64" s="7">
        <v>1926.6926650166349</v>
      </c>
      <c r="T64" s="13">
        <v>1911.3653367034315</v>
      </c>
      <c r="U64" s="13">
        <v>1868.6387456831158</v>
      </c>
      <c r="V64" s="13">
        <v>1972.8887435954034</v>
      </c>
      <c r="W64" s="13">
        <v>1954.4163786544314</v>
      </c>
      <c r="X64" s="13">
        <v>2009.1407934439092</v>
      </c>
      <c r="Y64" s="13">
        <v>1940.4348217869019</v>
      </c>
      <c r="Z64" s="13">
        <v>1971.8290658363126</v>
      </c>
      <c r="AA64" s="13">
        <v>1985.9493198070343</v>
      </c>
      <c r="AB64" s="13">
        <v>1936.5901507655137</v>
      </c>
      <c r="AC64" s="13">
        <v>1930.3537983575411</v>
      </c>
      <c r="AD64" s="13">
        <v>2013.3101972267355</v>
      </c>
      <c r="AE64" s="13">
        <v>1941.8294411139636</v>
      </c>
      <c r="AF64" s="13">
        <v>2041.5905322824995</v>
      </c>
      <c r="AG64" s="13">
        <v>2062.6250169355135</v>
      </c>
      <c r="AH64" s="13">
        <v>2037.6420074759194</v>
      </c>
      <c r="AI64" s="13">
        <v>1988.1948963754746</v>
      </c>
      <c r="AJ64" s="13">
        <v>2041.7209612628569</v>
      </c>
      <c r="AK64" s="13">
        <v>2092.6165214997663</v>
      </c>
      <c r="AL64" s="13">
        <v>2109.9837702669688</v>
      </c>
      <c r="AM64" s="13">
        <v>2099.7593291576763</v>
      </c>
      <c r="AN64" s="13">
        <v>2088.8366364581061</v>
      </c>
      <c r="AO64" s="13">
        <v>2118.5552501726943</v>
      </c>
      <c r="AP64" s="13">
        <v>2106.7758088029759</v>
      </c>
      <c r="AQ64" s="13">
        <v>2089.9532390726704</v>
      </c>
      <c r="AR64" s="13">
        <v>2069.8189846599998</v>
      </c>
      <c r="AS64" s="13">
        <v>1985.5711454899065</v>
      </c>
      <c r="AT64" s="13">
        <v>1984.7993834465219</v>
      </c>
      <c r="AU64" s="13">
        <v>2060.0127055933131</v>
      </c>
      <c r="AV64" s="13">
        <v>2040.2040693231479</v>
      </c>
      <c r="AW64" s="13">
        <v>2054.899030129217</v>
      </c>
      <c r="AX64" s="51">
        <f t="shared" ref="AX64:AX68" si="24">+(AW64+BA64)/2</f>
        <v>2139.8559720601693</v>
      </c>
      <c r="AY64" s="51">
        <f t="shared" ref="AY64:AY68" si="25">+(AX64+BA64)/2</f>
        <v>2182.3344430256457</v>
      </c>
      <c r="AZ64" s="51">
        <f t="shared" si="2"/>
        <v>2203.5736785083836</v>
      </c>
      <c r="BA64" s="31">
        <v>2224.8129139911216</v>
      </c>
      <c r="BB64" s="13">
        <v>2286.7017583361339</v>
      </c>
      <c r="BC64" s="13">
        <v>2343.4824953736916</v>
      </c>
      <c r="BD64" s="13">
        <v>2248.3357956931254</v>
      </c>
      <c r="BE64" s="13">
        <v>2205.4024295593936</v>
      </c>
      <c r="BF64" s="13">
        <v>2334.5579676022417</v>
      </c>
      <c r="BG64" s="13">
        <v>2459.2452474758011</v>
      </c>
      <c r="BH64" s="13">
        <v>2401.8745408366976</v>
      </c>
      <c r="BI64" s="13">
        <v>2327.6764223843224</v>
      </c>
      <c r="BJ64" s="13">
        <v>2316.4270000000001</v>
      </c>
      <c r="BK64" s="42">
        <v>2245.02</v>
      </c>
      <c r="BL64" s="42">
        <v>2407.817</v>
      </c>
      <c r="BM64" s="42">
        <v>2277.4679999999998</v>
      </c>
      <c r="BN64" s="42">
        <v>2267.0648318687799</v>
      </c>
      <c r="BO64" s="42">
        <v>2333.645</v>
      </c>
      <c r="BP64" s="42">
        <v>2386.2660000000001</v>
      </c>
      <c r="BQ64" s="42">
        <v>1552.7270000000001</v>
      </c>
      <c r="BR64" s="42">
        <v>1861.539</v>
      </c>
      <c r="BS64" s="42">
        <v>2002.615</v>
      </c>
      <c r="BT64" s="42">
        <v>2268.4070000000002</v>
      </c>
      <c r="BU64" s="42">
        <v>2201.194</v>
      </c>
      <c r="BV64" s="42">
        <v>2371.2660000000001</v>
      </c>
      <c r="BW64" s="42">
        <v>2426.63</v>
      </c>
      <c r="BX64" s="42">
        <v>2307.7354735124368</v>
      </c>
      <c r="BY64" s="42">
        <v>2461.6838030430886</v>
      </c>
      <c r="BZ64" s="42">
        <v>2601.3377201392459</v>
      </c>
      <c r="CA64" s="42">
        <v>2539.379168079302</v>
      </c>
      <c r="CB64" s="42">
        <v>2645.3019840127549</v>
      </c>
      <c r="CC64" s="42">
        <v>2549.2374150902237</v>
      </c>
      <c r="CD64" s="42">
        <v>2606.2551673107801</v>
      </c>
      <c r="CE64" s="42">
        <v>2651.8657798289305</v>
      </c>
      <c r="CF64" s="42">
        <v>2618.3301843716449</v>
      </c>
      <c r="CG64" s="42">
        <v>2589.9642701882817</v>
      </c>
      <c r="CH64" s="42">
        <v>2549.2374150902237</v>
      </c>
      <c r="CI64" s="42">
        <v>2575.1377648429843</v>
      </c>
      <c r="CJ64" s="42">
        <v>2452.6370695974674</v>
      </c>
    </row>
    <row r="65" spans="1:88" ht="20.149999999999999" customHeight="1" x14ac:dyDescent="0.25">
      <c r="A65" s="12" t="s">
        <v>62</v>
      </c>
      <c r="B65" s="42">
        <v>1885.063907368085</v>
      </c>
      <c r="C65" s="42">
        <v>1820.7006923356314</v>
      </c>
      <c r="D65" s="42">
        <v>1902.3515632796189</v>
      </c>
      <c r="E65" s="42">
        <v>1867.3780475464137</v>
      </c>
      <c r="F65" s="42">
        <v>1951.9039793887598</v>
      </c>
      <c r="G65" s="42">
        <v>1936.3104868051287</v>
      </c>
      <c r="H65" s="42">
        <v>2004.1668281459517</v>
      </c>
      <c r="I65" s="42">
        <v>1939.4542800984066</v>
      </c>
      <c r="J65" s="42">
        <v>1963.0920159016771</v>
      </c>
      <c r="K65" s="42">
        <v>1992.8619396279837</v>
      </c>
      <c r="L65" s="13">
        <v>1964.9300449755467</v>
      </c>
      <c r="M65" s="13">
        <v>2075.4099855607828</v>
      </c>
      <c r="N65" s="13">
        <v>2037.9378306983331</v>
      </c>
      <c r="O65" s="13">
        <v>2108.9518367732981</v>
      </c>
      <c r="P65" s="13">
        <v>2095.1566429168079</v>
      </c>
      <c r="Q65" s="13">
        <v>2075.2402745603367</v>
      </c>
      <c r="R65" s="35">
        <f t="shared" si="5"/>
        <v>2032.8732888847517</v>
      </c>
      <c r="S65" s="7">
        <v>1990.5063032091668</v>
      </c>
      <c r="T65" s="13">
        <v>2057.2009378807761</v>
      </c>
      <c r="U65" s="13">
        <v>2019.0574731735733</v>
      </c>
      <c r="V65" s="13">
        <v>1991.1302671481378</v>
      </c>
      <c r="W65" s="13">
        <v>2041.423630933946</v>
      </c>
      <c r="X65" s="13">
        <v>1993.9724202546565</v>
      </c>
      <c r="Y65" s="13">
        <v>2084.4478516270956</v>
      </c>
      <c r="Z65" s="13">
        <v>1932.9082854077362</v>
      </c>
      <c r="AA65" s="13">
        <v>1991.1441174165991</v>
      </c>
      <c r="AB65" s="13">
        <v>2063.4313520314599</v>
      </c>
      <c r="AC65" s="13">
        <v>2053.7102698333274</v>
      </c>
      <c r="AD65" s="13">
        <v>1992.2229127385615</v>
      </c>
      <c r="AE65" s="13">
        <v>2081.3646478140786</v>
      </c>
      <c r="AF65" s="13">
        <v>2060.7825837448054</v>
      </c>
      <c r="AG65" s="13">
        <v>2149.9010138560734</v>
      </c>
      <c r="AH65" s="13">
        <v>2114.2385530045703</v>
      </c>
      <c r="AI65" s="13">
        <v>2254.4642549890764</v>
      </c>
      <c r="AJ65" s="13">
        <v>2085.5884449104346</v>
      </c>
      <c r="AK65" s="13">
        <v>2221.7722410229676</v>
      </c>
      <c r="AL65" s="13">
        <v>2208.2299435175628</v>
      </c>
      <c r="AM65" s="13">
        <v>2368.1929427087139</v>
      </c>
      <c r="AN65" s="13">
        <v>2151.8055807235037</v>
      </c>
      <c r="AO65" s="13">
        <v>2419.5061598524326</v>
      </c>
      <c r="AP65" s="13">
        <v>2270.783187002713</v>
      </c>
      <c r="AQ65" s="13">
        <v>2294.1779177880508</v>
      </c>
      <c r="AR65" s="13">
        <v>2283.2484080537861</v>
      </c>
      <c r="AS65" s="13">
        <v>2369.7647099756023</v>
      </c>
      <c r="AT65" s="13">
        <v>2304.5646081179357</v>
      </c>
      <c r="AU65" s="13">
        <v>2430.8923893973779</v>
      </c>
      <c r="AV65" s="13">
        <v>2286.4850661408973</v>
      </c>
      <c r="AW65" s="13">
        <v>2372.6890012783401</v>
      </c>
      <c r="AX65" s="51">
        <f t="shared" si="24"/>
        <v>2420.0414222745721</v>
      </c>
      <c r="AY65" s="51">
        <f t="shared" si="25"/>
        <v>2443.7176327726884</v>
      </c>
      <c r="AZ65" s="51">
        <f t="shared" si="2"/>
        <v>2455.555738021746</v>
      </c>
      <c r="BA65" s="31">
        <v>2467.3938432708042</v>
      </c>
      <c r="BB65" s="13">
        <v>2307.4681162794641</v>
      </c>
      <c r="BC65" s="13">
        <v>2341.9482992889916</v>
      </c>
      <c r="BD65" s="13">
        <v>2347.3043899299082</v>
      </c>
      <c r="BE65" s="13">
        <v>2419.9811206590803</v>
      </c>
      <c r="BF65" s="13">
        <v>2382.9169858162418</v>
      </c>
      <c r="BG65" s="13">
        <v>2495.2125389393209</v>
      </c>
      <c r="BH65" s="13">
        <v>2286.6858449782703</v>
      </c>
      <c r="BI65" s="13">
        <v>2420.9127064943864</v>
      </c>
      <c r="BJ65" s="13">
        <v>2345.1770000000001</v>
      </c>
      <c r="BK65" s="42">
        <v>2329.1489999999999</v>
      </c>
      <c r="BL65" s="42">
        <v>2442.4389999999999</v>
      </c>
      <c r="BM65" s="42">
        <v>2397.9050000000002</v>
      </c>
      <c r="BN65" s="42">
        <v>2430.9554793700527</v>
      </c>
      <c r="BO65" s="42">
        <v>2442.6060000000002</v>
      </c>
      <c r="BP65" s="42">
        <v>2636.3389999999999</v>
      </c>
      <c r="BQ65" s="42">
        <v>1973.1559999999999</v>
      </c>
      <c r="BR65" s="42">
        <v>2369.9119999999998</v>
      </c>
      <c r="BS65" s="42">
        <v>2547.0729999999999</v>
      </c>
      <c r="BT65" s="42">
        <v>2532.2379999999998</v>
      </c>
      <c r="BU65" s="42">
        <v>2739.8380000000002</v>
      </c>
      <c r="BV65" s="42">
        <v>2589.672</v>
      </c>
      <c r="BW65" s="42">
        <v>2518.2579999999998</v>
      </c>
      <c r="BX65" s="42">
        <v>2587.7183214042061</v>
      </c>
      <c r="BY65" s="42">
        <v>2587.7183214042061</v>
      </c>
      <c r="BZ65" s="42">
        <v>2484.7802703597122</v>
      </c>
      <c r="CA65" s="42">
        <v>2615.5317832670094</v>
      </c>
      <c r="CB65" s="42">
        <v>2682.6678990346054</v>
      </c>
      <c r="CC65" s="42">
        <v>2642.0471389474928</v>
      </c>
      <c r="CD65" s="42">
        <v>2434.8140905243545</v>
      </c>
      <c r="CE65" s="42">
        <v>2734.8424913303643</v>
      </c>
      <c r="CF65" s="42">
        <v>2658.1733241302613</v>
      </c>
      <c r="CG65" s="42">
        <v>2600.4593199095225</v>
      </c>
      <c r="CH65" s="42">
        <v>2642.0471389474928</v>
      </c>
      <c r="CI65" s="42">
        <v>2587.3176833239254</v>
      </c>
      <c r="CJ65" s="42">
        <v>2457.9670784414138</v>
      </c>
    </row>
    <row r="66" spans="1:88" ht="20.149999999999999" customHeight="1" x14ac:dyDescent="0.25">
      <c r="A66" s="12" t="s">
        <v>63</v>
      </c>
      <c r="B66" s="42">
        <v>1662.0033221940048</v>
      </c>
      <c r="C66" s="42">
        <v>1767.6970168792427</v>
      </c>
      <c r="D66" s="42">
        <v>1796.582346083876</v>
      </c>
      <c r="E66" s="42">
        <v>1802.3595681312979</v>
      </c>
      <c r="F66" s="42">
        <v>1848.4874254560493</v>
      </c>
      <c r="G66" s="42">
        <v>1879.5989167884773</v>
      </c>
      <c r="H66" s="42">
        <v>1811.4112492800566</v>
      </c>
      <c r="I66" s="42">
        <v>1782.9467731700026</v>
      </c>
      <c r="J66" s="42">
        <v>1957.8896647934139</v>
      </c>
      <c r="K66" s="42">
        <v>1942.1754770781765</v>
      </c>
      <c r="L66" s="13">
        <v>1920.5801897637396</v>
      </c>
      <c r="M66" s="13">
        <v>1895.4262567604364</v>
      </c>
      <c r="N66" s="13">
        <v>1893.1732167017644</v>
      </c>
      <c r="O66" s="13">
        <v>1919.4868090011544</v>
      </c>
      <c r="P66" s="13">
        <v>1926.9924988503876</v>
      </c>
      <c r="Q66" s="13">
        <v>1888.2003957664188</v>
      </c>
      <c r="R66" s="35">
        <f t="shared" si="5"/>
        <v>1923.7643675792017</v>
      </c>
      <c r="S66" s="7">
        <v>1959.3283393919846</v>
      </c>
      <c r="T66" s="13">
        <v>1878.1060463471949</v>
      </c>
      <c r="U66" s="13">
        <v>1952.6740554147257</v>
      </c>
      <c r="V66" s="13">
        <v>2022.0851795955687</v>
      </c>
      <c r="W66" s="13">
        <v>2093.9467051053707</v>
      </c>
      <c r="X66" s="13">
        <v>2086.8634399627558</v>
      </c>
      <c r="Y66" s="13">
        <v>1906.3489638686106</v>
      </c>
      <c r="Z66" s="13">
        <v>2119.6475934883488</v>
      </c>
      <c r="AA66" s="13">
        <v>2057.3385559248295</v>
      </c>
      <c r="AB66" s="13">
        <v>2158.4298045404748</v>
      </c>
      <c r="AC66" s="13">
        <v>2129.1448329040277</v>
      </c>
      <c r="AD66" s="13">
        <v>2153.0651615076599</v>
      </c>
      <c r="AE66" s="13">
        <v>2091.6686760801585</v>
      </c>
      <c r="AF66" s="13">
        <v>2216.6809209749963</v>
      </c>
      <c r="AG66" s="13">
        <v>2192.2784740827283</v>
      </c>
      <c r="AH66" s="13">
        <v>2295.9274560503168</v>
      </c>
      <c r="AI66" s="13">
        <v>2165.8839659167775</v>
      </c>
      <c r="AJ66" s="13">
        <v>2173.7797655968639</v>
      </c>
      <c r="AK66" s="13">
        <v>2053.303564989189</v>
      </c>
      <c r="AL66" s="13">
        <v>2181.6384314228144</v>
      </c>
      <c r="AM66" s="13">
        <v>2031.6837354764418</v>
      </c>
      <c r="AN66" s="13">
        <v>2187.3998143427193</v>
      </c>
      <c r="AO66" s="13">
        <v>1993.2557871752924</v>
      </c>
      <c r="AP66" s="13">
        <v>2206.5463016208173</v>
      </c>
      <c r="AQ66" s="13">
        <v>2035.6373964426425</v>
      </c>
      <c r="AR66" s="13">
        <v>2139.0422037755225</v>
      </c>
      <c r="AS66" s="13">
        <v>2003.7376375938441</v>
      </c>
      <c r="AT66" s="13">
        <v>2155.8242015157794</v>
      </c>
      <c r="AU66" s="13">
        <v>2038.9759596484428</v>
      </c>
      <c r="AV66" s="13">
        <v>2126.8887300577303</v>
      </c>
      <c r="AW66" s="13">
        <v>2000.5322353409681</v>
      </c>
      <c r="AX66" s="51">
        <f t="shared" si="24"/>
        <v>2027.8075493800852</v>
      </c>
      <c r="AY66" s="51">
        <f t="shared" si="25"/>
        <v>2041.4452063996437</v>
      </c>
      <c r="AZ66" s="51">
        <f t="shared" si="2"/>
        <v>2048.2640349094227</v>
      </c>
      <c r="BA66" s="31">
        <v>2055.0828634192021</v>
      </c>
      <c r="BB66" s="13">
        <v>2149.9712650115866</v>
      </c>
      <c r="BC66" s="13">
        <v>2149.2316141930255</v>
      </c>
      <c r="BD66" s="13">
        <v>2197.8919104159445</v>
      </c>
      <c r="BE66" s="13">
        <v>2071.6324511307025</v>
      </c>
      <c r="BF66" s="13">
        <v>2377.388769033611</v>
      </c>
      <c r="BG66" s="13">
        <v>2293.0610290369868</v>
      </c>
      <c r="BH66" s="13">
        <v>2438.354479334278</v>
      </c>
      <c r="BI66" s="13">
        <v>2180.1628902781645</v>
      </c>
      <c r="BJ66" s="13">
        <v>2405.5410000000002</v>
      </c>
      <c r="BK66" s="42">
        <v>2337.33</v>
      </c>
      <c r="BL66" s="42">
        <v>2298.6109999999999</v>
      </c>
      <c r="BM66" s="42">
        <v>2440.3890000000001</v>
      </c>
      <c r="BN66" s="42">
        <v>2589.3291566180087</v>
      </c>
      <c r="BO66" s="42">
        <v>2503.665</v>
      </c>
      <c r="BP66" s="42">
        <v>2559.6970000000001</v>
      </c>
      <c r="BQ66" s="42">
        <v>1912.854</v>
      </c>
      <c r="BR66" s="42">
        <v>2079.808</v>
      </c>
      <c r="BS66" s="42">
        <v>2240.7159999999999</v>
      </c>
      <c r="BT66" s="42">
        <v>2447.511</v>
      </c>
      <c r="BU66" s="42">
        <v>2249.0239999999999</v>
      </c>
      <c r="BV66" s="42">
        <v>2314.1590000000001</v>
      </c>
      <c r="BW66" s="42">
        <v>2439.7370000000001</v>
      </c>
      <c r="BX66" s="42">
        <v>2610.4645527712546</v>
      </c>
      <c r="BY66" s="42">
        <v>2610.4645527712546</v>
      </c>
      <c r="BZ66" s="42">
        <v>2520.5181016558995</v>
      </c>
      <c r="CA66" s="42">
        <v>2502.078356566733</v>
      </c>
      <c r="CB66" s="42">
        <v>2530.5512449806843</v>
      </c>
      <c r="CC66" s="42">
        <v>2457.9726866360311</v>
      </c>
      <c r="CD66" s="42">
        <v>2753.2872331646981</v>
      </c>
      <c r="CE66" s="42">
        <v>2442.0515093241715</v>
      </c>
      <c r="CF66" s="42">
        <v>2384.4223638882827</v>
      </c>
      <c r="CG66" s="42">
        <v>2504.6788661410228</v>
      </c>
      <c r="CH66" s="42">
        <v>2457.9726866360311</v>
      </c>
      <c r="CI66" s="42">
        <v>2704.0769018653596</v>
      </c>
      <c r="CJ66" s="42">
        <v>2706.953491578151</v>
      </c>
    </row>
    <row r="67" spans="1:88" ht="20.149999999999999" customHeight="1" x14ac:dyDescent="0.25">
      <c r="A67" s="12" t="s">
        <v>64</v>
      </c>
      <c r="B67" s="42">
        <v>1835.8039078754177</v>
      </c>
      <c r="C67" s="42">
        <v>1872.5336671358143</v>
      </c>
      <c r="D67" s="42">
        <v>1846.6805580462831</v>
      </c>
      <c r="E67" s="42">
        <v>1916.8458854141347</v>
      </c>
      <c r="F67" s="42">
        <v>1907.564538437791</v>
      </c>
      <c r="G67" s="42">
        <v>1925.1400260442733</v>
      </c>
      <c r="H67" s="42">
        <v>1923.1865709024867</v>
      </c>
      <c r="I67" s="42">
        <v>2052.8242151859504</v>
      </c>
      <c r="J67" s="42">
        <v>1953.5548831392691</v>
      </c>
      <c r="K67" s="42">
        <v>2052.3583188845137</v>
      </c>
      <c r="L67" s="13">
        <v>2001.6174883908402</v>
      </c>
      <c r="M67" s="13">
        <v>2098.3293617017912</v>
      </c>
      <c r="N67" s="13">
        <v>2084.0978109691582</v>
      </c>
      <c r="O67" s="13">
        <v>2130.6822845068336</v>
      </c>
      <c r="P67" s="13">
        <v>2131.6980961248364</v>
      </c>
      <c r="Q67" s="13">
        <v>2224.9630837304098</v>
      </c>
      <c r="R67" s="35">
        <f t="shared" si="5"/>
        <v>2222.759417927643</v>
      </c>
      <c r="S67" s="7">
        <v>2220.5557521248766</v>
      </c>
      <c r="T67" s="13">
        <v>2245.2772797166376</v>
      </c>
      <c r="U67" s="13">
        <v>2356.7590386448774</v>
      </c>
      <c r="V67" s="13">
        <v>2204.0777531089952</v>
      </c>
      <c r="W67" s="13">
        <v>2242.6212193434262</v>
      </c>
      <c r="X67" s="13">
        <v>2340.5876598250206</v>
      </c>
      <c r="Y67" s="13">
        <v>2387.1621748179518</v>
      </c>
      <c r="Z67" s="13">
        <v>2289.6334019961228</v>
      </c>
      <c r="AA67" s="13">
        <v>2355.1060260443878</v>
      </c>
      <c r="AB67" s="13">
        <v>2259.0885776834966</v>
      </c>
      <c r="AC67" s="13">
        <v>2251.1723534731545</v>
      </c>
      <c r="AD67" s="13">
        <v>2306.8469948330253</v>
      </c>
      <c r="AE67" s="13">
        <v>2366.2468561474443</v>
      </c>
      <c r="AF67" s="13">
        <v>2192.4775775334847</v>
      </c>
      <c r="AG67" s="13">
        <v>2379.3487044692465</v>
      </c>
      <c r="AH67" s="13">
        <v>2401.0906450464722</v>
      </c>
      <c r="AI67" s="13">
        <v>2303.6036929138327</v>
      </c>
      <c r="AJ67" s="13">
        <v>2343.7693482000886</v>
      </c>
      <c r="AK67" s="13">
        <v>2427.9015243202521</v>
      </c>
      <c r="AL67" s="13">
        <v>2468.9147222221241</v>
      </c>
      <c r="AM67" s="13">
        <v>2425.1856976948011</v>
      </c>
      <c r="AN67" s="13">
        <v>2272.7418941620203</v>
      </c>
      <c r="AO67" s="13">
        <v>2445.7404607943013</v>
      </c>
      <c r="AP67" s="13">
        <v>2434.3374804871119</v>
      </c>
      <c r="AQ67" s="13">
        <v>2582.9531457795315</v>
      </c>
      <c r="AR67" s="13">
        <v>2283.5452823907222</v>
      </c>
      <c r="AS67" s="13">
        <v>2339.9709818569654</v>
      </c>
      <c r="AT67" s="13">
        <v>2261.9283765482087</v>
      </c>
      <c r="AU67" s="13">
        <v>2426.1412195443681</v>
      </c>
      <c r="AV67" s="13">
        <v>2266.1751027642235</v>
      </c>
      <c r="AW67" s="13">
        <v>2409.6484489315044</v>
      </c>
      <c r="AX67" s="51">
        <f t="shared" si="24"/>
        <v>2373.8367097381515</v>
      </c>
      <c r="AY67" s="51">
        <f t="shared" si="25"/>
        <v>2355.9308401414746</v>
      </c>
      <c r="AZ67" s="51">
        <f t="shared" si="2"/>
        <v>2346.9779053431366</v>
      </c>
      <c r="BA67" s="31">
        <v>2338.0249705447982</v>
      </c>
      <c r="BB67" s="13">
        <v>2457.6697736282599</v>
      </c>
      <c r="BC67" s="13">
        <v>2330.1878159774501</v>
      </c>
      <c r="BD67" s="13">
        <v>2308.5546317243652</v>
      </c>
      <c r="BE67" s="13">
        <v>2474.872897591822</v>
      </c>
      <c r="BF67" s="13">
        <v>2423.953869285624</v>
      </c>
      <c r="BG67" s="13">
        <v>2347.8841056324168</v>
      </c>
      <c r="BH67" s="13">
        <v>2384.2350124483082</v>
      </c>
      <c r="BI67" s="13">
        <v>2504.032790154607</v>
      </c>
      <c r="BJ67" s="13">
        <v>2535.3069999999998</v>
      </c>
      <c r="BK67" s="42">
        <v>2460.84</v>
      </c>
      <c r="BL67" s="42">
        <v>2392.8580000000002</v>
      </c>
      <c r="BM67" s="42">
        <v>2476.107</v>
      </c>
      <c r="BN67" s="42">
        <v>2473.1846040771106</v>
      </c>
      <c r="BO67" s="42">
        <v>2523.1950000000002</v>
      </c>
      <c r="BP67" s="42">
        <v>2247.587</v>
      </c>
      <c r="BQ67" s="42">
        <v>1971.32</v>
      </c>
      <c r="BR67" s="42">
        <v>2131.3560000000002</v>
      </c>
      <c r="BS67" s="42">
        <v>2423.5500000000002</v>
      </c>
      <c r="BT67" s="42">
        <v>2350.5369999999998</v>
      </c>
      <c r="BU67" s="42">
        <v>2336.9589999999998</v>
      </c>
      <c r="BV67" s="42">
        <v>2582.7049999999999</v>
      </c>
      <c r="BW67" s="42">
        <v>2680.7939999999999</v>
      </c>
      <c r="BX67" s="42">
        <v>2588.2453267647284</v>
      </c>
      <c r="BY67" s="42">
        <v>2588.2453267647284</v>
      </c>
      <c r="BZ67" s="42">
        <v>2708.9942119365942</v>
      </c>
      <c r="CA67" s="42">
        <v>2736.6951710075236</v>
      </c>
      <c r="CB67" s="42">
        <v>2626.0200278640818</v>
      </c>
      <c r="CC67" s="42">
        <v>2706.2499479207527</v>
      </c>
      <c r="CD67" s="42">
        <v>2905.9843015559045</v>
      </c>
      <c r="CE67" s="42">
        <v>2895.5019327396749</v>
      </c>
      <c r="CF67" s="42">
        <v>2638.6342555926608</v>
      </c>
      <c r="CG67" s="42">
        <v>2790.2402190135722</v>
      </c>
      <c r="CH67" s="42">
        <v>2706.2499479207527</v>
      </c>
      <c r="CI67" s="42">
        <v>2989.7749897146891</v>
      </c>
      <c r="CJ67" s="42">
        <v>2834.7937037001197</v>
      </c>
    </row>
    <row r="68" spans="1:88" ht="20.149999999999999" customHeight="1" thickBot="1" x14ac:dyDescent="0.3">
      <c r="A68" s="17" t="s">
        <v>65</v>
      </c>
      <c r="B68" s="43">
        <v>1837.7605796751905</v>
      </c>
      <c r="C68" s="43">
        <v>1900.0146455604108</v>
      </c>
      <c r="D68" s="43">
        <v>1855.0651620044412</v>
      </c>
      <c r="E68" s="43">
        <v>2005.417860268891</v>
      </c>
      <c r="F68" s="43">
        <v>1978.4868450309825</v>
      </c>
      <c r="G68" s="43">
        <v>1961.1159307768187</v>
      </c>
      <c r="H68" s="43">
        <v>1941.3328776313872</v>
      </c>
      <c r="I68" s="43">
        <v>2021.1482528740319</v>
      </c>
      <c r="J68" s="43">
        <v>2103.7537390215994</v>
      </c>
      <c r="K68" s="43">
        <v>2085.0859869108044</v>
      </c>
      <c r="L68" s="18">
        <v>2134.7458791041954</v>
      </c>
      <c r="M68" s="18">
        <v>2236.2443500916165</v>
      </c>
      <c r="N68" s="18">
        <v>2230.6156296335053</v>
      </c>
      <c r="O68" s="18">
        <v>2181.0522183014714</v>
      </c>
      <c r="P68" s="18">
        <v>2180.1438024477911</v>
      </c>
      <c r="Q68" s="18">
        <v>2278.5501244090919</v>
      </c>
      <c r="R68" s="18">
        <f t="shared" si="5"/>
        <v>2277.9544554608501</v>
      </c>
      <c r="S68" s="19">
        <v>2277.3587865126078</v>
      </c>
      <c r="T68" s="18">
        <v>2272.3790217819719</v>
      </c>
      <c r="U68" s="18">
        <v>2240.8705304758782</v>
      </c>
      <c r="V68" s="18">
        <v>2236.0405518973139</v>
      </c>
      <c r="W68" s="18">
        <v>2336.2564803430223</v>
      </c>
      <c r="X68" s="18">
        <v>2217.556317250594</v>
      </c>
      <c r="Y68" s="18">
        <v>2273.3620035294643</v>
      </c>
      <c r="Z68" s="18">
        <v>2212.0341732708716</v>
      </c>
      <c r="AA68" s="18">
        <v>2300.5005308891555</v>
      </c>
      <c r="AB68" s="18">
        <v>2267.0773367965226</v>
      </c>
      <c r="AC68" s="18">
        <v>2406.1560178559262</v>
      </c>
      <c r="AD68" s="18">
        <v>2343.8465131724006</v>
      </c>
      <c r="AE68" s="18">
        <v>2345.9515694446095</v>
      </c>
      <c r="AF68" s="18">
        <v>2327.0428887938206</v>
      </c>
      <c r="AG68" s="18">
        <v>2312.5355644864085</v>
      </c>
      <c r="AH68" s="18">
        <v>2322.3907125527171</v>
      </c>
      <c r="AI68" s="18">
        <v>2393.8402637614381</v>
      </c>
      <c r="AJ68" s="18">
        <v>2316.0232675752909</v>
      </c>
      <c r="AK68" s="18">
        <v>2342.1706123586764</v>
      </c>
      <c r="AL68" s="18">
        <v>2316.9645457020424</v>
      </c>
      <c r="AM68" s="18">
        <v>2345.0544189413563</v>
      </c>
      <c r="AN68" s="18">
        <v>2373.9222951068705</v>
      </c>
      <c r="AO68" s="18">
        <v>2359.7052457783029</v>
      </c>
      <c r="AP68" s="18">
        <v>2312.0768532001689</v>
      </c>
      <c r="AQ68" s="18">
        <v>2301.8586891055629</v>
      </c>
      <c r="AR68" s="18">
        <v>2320.0870800268945</v>
      </c>
      <c r="AS68" s="18">
        <v>2311.8618959104988</v>
      </c>
      <c r="AT68" s="18">
        <v>2315.2865328367648</v>
      </c>
      <c r="AU68" s="18">
        <v>2296.9342370240342</v>
      </c>
      <c r="AV68" s="18">
        <v>2382.4637089312614</v>
      </c>
      <c r="AW68" s="18">
        <v>2313.2657150876084</v>
      </c>
      <c r="AX68" s="51">
        <f t="shared" si="24"/>
        <v>2350.1750264913785</v>
      </c>
      <c r="AY68" s="51">
        <f t="shared" si="25"/>
        <v>2368.6296821932638</v>
      </c>
      <c r="AZ68" s="51">
        <f t="shared" si="2"/>
        <v>2377.8570100442062</v>
      </c>
      <c r="BA68" s="34">
        <v>2387.0843378951486</v>
      </c>
      <c r="BB68" s="18">
        <v>2412.4069863328427</v>
      </c>
      <c r="BC68" s="18">
        <v>2431.9001587801195</v>
      </c>
      <c r="BD68" s="18">
        <v>2358.7354775484246</v>
      </c>
      <c r="BE68" s="18">
        <v>2339.1592752590032</v>
      </c>
      <c r="BF68" s="18">
        <v>2291.9837287622822</v>
      </c>
      <c r="BG68" s="18">
        <v>2415.9251189154734</v>
      </c>
      <c r="BH68" s="18">
        <v>2355.2320524024453</v>
      </c>
      <c r="BI68" s="18">
        <v>2324.8143566885196</v>
      </c>
      <c r="BJ68" s="18">
        <v>2219.5990000000002</v>
      </c>
      <c r="BK68" s="43">
        <v>2420.9630000000002</v>
      </c>
      <c r="BL68" s="43">
        <v>2405.511</v>
      </c>
      <c r="BM68" s="43">
        <v>2481.4609999999998</v>
      </c>
      <c r="BN68" s="43">
        <v>2348.4982351682852</v>
      </c>
      <c r="BO68" s="43">
        <v>2436.92</v>
      </c>
      <c r="BP68" s="43">
        <v>2215.2489999999998</v>
      </c>
      <c r="BQ68" s="43">
        <v>2135.9870000000001</v>
      </c>
      <c r="BR68" s="43">
        <v>2215.3319999999999</v>
      </c>
      <c r="BS68" s="43">
        <v>2309.71</v>
      </c>
      <c r="BT68" s="43">
        <v>2383.3069999999998</v>
      </c>
      <c r="BU68" s="43">
        <v>2454.4830000000002</v>
      </c>
      <c r="BV68" s="43">
        <v>2545.7020000000002</v>
      </c>
      <c r="BW68" s="43">
        <v>2578.1930000000002</v>
      </c>
      <c r="BX68" s="43">
        <v>2489.8133255473745</v>
      </c>
      <c r="BY68" s="43">
        <v>2489.8133255473745</v>
      </c>
      <c r="BZ68" s="43">
        <v>2606.4706959085488</v>
      </c>
      <c r="CA68" s="43">
        <v>2667.4175210794319</v>
      </c>
      <c r="CB68" s="43">
        <v>2706.819844107873</v>
      </c>
      <c r="CC68" s="43">
        <v>2752.131811405498</v>
      </c>
      <c r="CD68" s="43">
        <v>2695.8612074442626</v>
      </c>
      <c r="CE68" s="43">
        <v>2793.6752867768596</v>
      </c>
      <c r="CF68" s="43">
        <v>2814.3678720171492</v>
      </c>
      <c r="CG68" s="43">
        <v>2812.558324747602</v>
      </c>
      <c r="CH68" s="43">
        <v>2752.131811405498</v>
      </c>
      <c r="CI68" s="43">
        <v>2740.1766602530415</v>
      </c>
      <c r="CJ68" s="43">
        <v>2806.4576566828478</v>
      </c>
    </row>
    <row r="69" spans="1:88" ht="30" customHeight="1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>
        <v>2315.2865328367648</v>
      </c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</row>
    <row r="70" spans="1:88" ht="21" customHeight="1" x14ac:dyDescent="0.25">
      <c r="A70" s="54" t="s">
        <v>55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20"/>
      <c r="AK70" s="20"/>
      <c r="AL70" s="20"/>
      <c r="AM70" s="20"/>
      <c r="AN70" s="20"/>
      <c r="AO70" s="20"/>
    </row>
    <row r="71" spans="1:88" s="28" customFormat="1" ht="24.75" customHeight="1" x14ac:dyDescent="0.25">
      <c r="A71" s="60" t="s">
        <v>103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39"/>
      <c r="AT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</row>
    <row r="72" spans="1:88" s="28" customFormat="1" ht="17.25" customHeight="1" x14ac:dyDescent="0.25">
      <c r="A72" s="60" t="s">
        <v>104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39"/>
      <c r="A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</row>
    <row r="73" spans="1:88" s="39" customFormat="1" ht="32.25" customHeight="1" x14ac:dyDescent="0.25">
      <c r="A73" s="60" t="s">
        <v>105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</row>
    <row r="74" spans="1:88" s="39" customFormat="1" ht="20.149999999999999" customHeight="1" x14ac:dyDescent="0.25">
      <c r="A74" s="60" t="s">
        <v>125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</row>
    <row r="75" spans="1:88" s="2" customFormat="1" ht="21" customHeight="1" x14ac:dyDescent="0.25">
      <c r="A75" s="56" t="s">
        <v>106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21"/>
      <c r="AK75" s="21"/>
      <c r="AL75" s="21"/>
      <c r="AM75" s="21"/>
      <c r="AN75" s="21"/>
      <c r="AO75" s="21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</row>
    <row r="76" spans="1:88" ht="30" customHeight="1" x14ac:dyDescent="0.25">
      <c r="A76" s="53" t="s">
        <v>155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22"/>
      <c r="AK76" s="22"/>
      <c r="AL76" s="22"/>
      <c r="AM76" s="22"/>
      <c r="AN76" s="22"/>
      <c r="AO76" s="22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</row>
    <row r="77" spans="1:88" x14ac:dyDescent="0.25"/>
    <row r="78" spans="1:88" x14ac:dyDescent="0.25"/>
    <row r="79" spans="1:88" x14ac:dyDescent="0.25"/>
    <row r="80" spans="1:88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hidden="1" x14ac:dyDescent="0.25"/>
    <row r="125" hidden="1" x14ac:dyDescent="0.25"/>
    <row r="126" x14ac:dyDescent="0.25"/>
  </sheetData>
  <mergeCells count="10">
    <mergeCell ref="A69:AI69"/>
    <mergeCell ref="A76:AI76"/>
    <mergeCell ref="A70:AI70"/>
    <mergeCell ref="A75:AI75"/>
    <mergeCell ref="A1:AI1"/>
    <mergeCell ref="A2:AI2"/>
    <mergeCell ref="A71:AR71"/>
    <mergeCell ref="A72:AH72"/>
    <mergeCell ref="A73:AH73"/>
    <mergeCell ref="A74:AR74"/>
  </mergeCells>
  <phoneticPr fontId="37" type="noConversion"/>
  <printOptions horizontalCentered="1" verticalCentered="1"/>
  <pageMargins left="0.39370078740157483" right="0.39370078740157483" top="0.39370078740157483" bottom="0.39370078740157483" header="0" footer="0"/>
  <pageSetup paperSize="8" scale="2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2011-03-10T14:21:34Z</cp:lastPrinted>
  <dcterms:created xsi:type="dcterms:W3CDTF">2007-01-04T19:19:06Z</dcterms:created>
  <dcterms:modified xsi:type="dcterms:W3CDTF">2025-11-05T20:22:00Z</dcterms:modified>
</cp:coreProperties>
</file>