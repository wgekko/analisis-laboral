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Gekko\Documents\app-trabajo\data\ocupacion\"/>
    </mc:Choice>
  </mc:AlternateContent>
  <bookViews>
    <workbookView xWindow="0" yWindow="0" windowWidth="21580" windowHeight="8150"/>
  </bookViews>
  <sheets>
    <sheet name="BEL" sheetId="1" r:id="rId1"/>
  </sheets>
  <externalReferences>
    <externalReference r:id="rId2"/>
    <externalReference r:id="rId3"/>
  </externalReferences>
  <definedNames>
    <definedName name="_cd1" hidden="1">{"'cua 42'!$A$1:$O$40"}</definedName>
    <definedName name="_Key1" hidden="1">'[1]dep pre'!#REF!</definedName>
    <definedName name="_Order1" hidden="1">255</definedName>
    <definedName name="_Parse_In" hidden="1">'[1]dep pre'!#REF!</definedName>
    <definedName name="_Parse_Out" hidden="1">'[1]dep pre'!#REF!</definedName>
    <definedName name="_Sort" hidden="1">'[1]dep pre'!#REF!</definedName>
    <definedName name="AA" hidden="1">{"'cua 42'!$A$1:$O$40"}</definedName>
    <definedName name="ab" hidden="1">{"'cua 42'!$A$1:$O$40"}</definedName>
    <definedName name="affff" hidden="1">{"'cua 42'!$A$1:$O$40"}</definedName>
    <definedName name="_xlnm.Print_Area" localSheetId="0">BEL!$A$1:$BD$40</definedName>
    <definedName name="BB" hidden="1">{"'cua 42'!$A$1:$O$40"}</definedName>
    <definedName name="cc" hidden="1">{"'cua 42'!$A$1:$O$40"}</definedName>
    <definedName name="dd" hidden="1">{"'cua 42'!$A$1:$O$40"}</definedName>
    <definedName name="dfg" hidden="1">{"'cua 42'!$A$1:$O$40"}</definedName>
    <definedName name="dfgh" hidden="1">{"'cua 42'!$A$1:$O$40"}</definedName>
    <definedName name="fffffffffff" hidden="1">{"'tasa de salida'!$A$1:$G$48"}</definedName>
    <definedName name="gu" hidden="1">'[2]dep pre'!#REF!</definedName>
    <definedName name="hh" hidden="1">{"'cuadro 18 '!$A$1:$L$34"}</definedName>
    <definedName name="hllliun" hidden="1">'[2]dep pre'!#REF!</definedName>
    <definedName name="HTML_CodePage" hidden="1">1252</definedName>
    <definedName name="HTML_Control" hidden="1">{"'tasa de salida'!$A$1:$G$48"}</definedName>
    <definedName name="HTML_Control2" hidden="1">{"'tasa de salida'!$A$1:$G$48"}</definedName>
    <definedName name="HTML_Control3" hidden="1">{"'tasa de salida'!$A$1:$G$48"}</definedName>
    <definedName name="HTML_Description" hidden="1">""</definedName>
    <definedName name="HTML_Email" hidden="1">"dnrmt@trabajo.gov.ar"</definedName>
    <definedName name="HTML_Header" hidden="1">""</definedName>
    <definedName name="HTML_LastUpdate" hidden="1">"22/02/1999"</definedName>
    <definedName name="HTML_LineAfter" hidden="1">TRUE</definedName>
    <definedName name="HTML_LineBefore" hidden="1">FALSE</definedName>
    <definedName name="HTML_Name" hidden="1">"MTSS - SEyCL - DNRMT"</definedName>
    <definedName name="HTML_OBDlg2" hidden="1">TRUE</definedName>
    <definedName name="HTML_OBDlg4" hidden="1">TRUE</definedName>
    <definedName name="HTML_OS" hidden="1">0</definedName>
    <definedName name="HTML_PathFile" hidden="1">"Z:\juanpi\anexo eil - web\html\eil0199\1207.html"</definedName>
    <definedName name="HTML_Title" hidden="1">""</definedName>
    <definedName name="jjjjjjjjjjj" hidden="1">{"'cua 42'!$A$1:$O$40"}</definedName>
    <definedName name="jppmpñ" hidden="1">{"'cua 42'!$A$1:$O$40"}</definedName>
    <definedName name="lkjp" hidden="1">'[2]dep pre'!#REF!</definedName>
    <definedName name="nnnnnnnnnnn" hidden="1">{"'cua 42'!$A$1:$O$40"}</definedName>
    <definedName name="santiago" hidden="1">{"'cua 42'!$A$1:$O$40"}</definedName>
    <definedName name="sertes" hidden="1">{"'cua 42'!$A$1:$O$40"}</definedName>
    <definedName name="sfg" hidden="1">'[2]dep pre'!#REF!</definedName>
    <definedName name="shit" hidden="1">{"'cua 42'!$A$1:$O$40"}</definedName>
    <definedName name="ssssss" hidden="1">{"'tasa de salida'!$A$1:$G$48"}</definedName>
    <definedName name="tyurt" hidden="1">{"'cua 42'!$A$1:$O$40"}</definedName>
    <definedName name="yuetyy" hidden="1">{"'cua 42'!$A$1:$O$40"}</definedName>
  </definedNames>
  <calcPr calcId="162913"/>
</workbook>
</file>

<file path=xl/calcChain.xml><?xml version="1.0" encoding="utf-8"?>
<calcChain xmlns="http://schemas.openxmlformats.org/spreadsheetml/2006/main">
  <c r="AX32" i="1" l="1"/>
  <c r="AY32" i="1" s="1"/>
  <c r="AZ32" i="1" s="1"/>
  <c r="AX31" i="1"/>
  <c r="AY31" i="1" s="1"/>
  <c r="AZ31" i="1" s="1"/>
  <c r="AX30" i="1"/>
  <c r="AY30" i="1" s="1"/>
  <c r="AZ30" i="1" s="1"/>
  <c r="AY29" i="1"/>
  <c r="AZ29" i="1" s="1"/>
  <c r="AX29" i="1"/>
  <c r="AY28" i="1"/>
  <c r="AZ28" i="1" s="1"/>
  <c r="AX28" i="1"/>
  <c r="AX26" i="1"/>
  <c r="AY26" i="1" s="1"/>
  <c r="AZ26" i="1" s="1"/>
  <c r="AX25" i="1"/>
  <c r="AY25" i="1" s="1"/>
  <c r="AZ25" i="1" s="1"/>
  <c r="AX24" i="1"/>
  <c r="AY24" i="1" s="1"/>
  <c r="AZ24" i="1" s="1"/>
  <c r="AY23" i="1"/>
  <c r="AZ23" i="1" s="1"/>
  <c r="AX23" i="1"/>
  <c r="AX22" i="1"/>
  <c r="AY22" i="1" s="1"/>
  <c r="AZ22" i="1" s="1"/>
  <c r="AX21" i="1"/>
  <c r="AY21" i="1" s="1"/>
  <c r="AZ21" i="1" s="1"/>
  <c r="AX19" i="1"/>
  <c r="AY19" i="1" s="1"/>
  <c r="AZ19" i="1" s="1"/>
  <c r="AX18" i="1"/>
  <c r="AY18" i="1" s="1"/>
  <c r="AZ18" i="1" s="1"/>
  <c r="AX17" i="1"/>
  <c r="AY17" i="1" s="1"/>
  <c r="AZ17" i="1" s="1"/>
  <c r="AY16" i="1"/>
  <c r="AZ16" i="1" s="1"/>
  <c r="AX16" i="1"/>
  <c r="AX14" i="1"/>
  <c r="AY14" i="1" s="1"/>
  <c r="AZ14" i="1" s="1"/>
  <c r="AX13" i="1"/>
  <c r="AY13" i="1" s="1"/>
  <c r="AZ13" i="1" s="1"/>
  <c r="AY12" i="1"/>
  <c r="AZ12" i="1" s="1"/>
  <c r="AX12" i="1"/>
  <c r="AX11" i="1"/>
  <c r="AY11" i="1" s="1"/>
  <c r="AZ11" i="1" s="1"/>
  <c r="AX10" i="1"/>
  <c r="AY10" i="1" s="1"/>
  <c r="AZ10" i="1" s="1"/>
  <c r="AX8" i="1"/>
  <c r="AY8" i="1" s="1"/>
  <c r="AZ8" i="1" s="1"/>
  <c r="AX7" i="1"/>
  <c r="AY7" i="1" s="1"/>
  <c r="AZ7" i="1" s="1"/>
  <c r="AY5" i="1"/>
  <c r="AZ5" i="1" s="1"/>
  <c r="AX5" i="1"/>
  <c r="R32" i="1"/>
  <c r="R31" i="1"/>
  <c r="R30" i="1"/>
  <c r="R29" i="1"/>
  <c r="R28" i="1"/>
  <c r="R26" i="1"/>
  <c r="R25" i="1"/>
  <c r="R24" i="1"/>
  <c r="R23" i="1"/>
  <c r="R22" i="1"/>
  <c r="R21" i="1"/>
  <c r="R19" i="1"/>
  <c r="R18" i="1"/>
  <c r="R17" i="1"/>
  <c r="R16" i="1"/>
  <c r="R14" i="1"/>
  <c r="R13" i="1"/>
  <c r="R12" i="1"/>
  <c r="R11" i="1"/>
  <c r="R10" i="1"/>
  <c r="R8" i="1"/>
  <c r="R7" i="1"/>
  <c r="R5" i="1"/>
</calcChain>
</file>

<file path=xl/sharedStrings.xml><?xml version="1.0" encoding="utf-8"?>
<sst xmlns="http://schemas.openxmlformats.org/spreadsheetml/2006/main" count="125" uniqueCount="125">
  <si>
    <t>Mercado de trabajo - EPH</t>
  </si>
  <si>
    <t>Total</t>
  </si>
  <si>
    <t>Sexo</t>
  </si>
  <si>
    <t>Varones</t>
  </si>
  <si>
    <t>Mujeres</t>
  </si>
  <si>
    <t>Entre 25 y 34 años</t>
  </si>
  <si>
    <t>Entre 35 y 49 años</t>
  </si>
  <si>
    <t>Entre 50 y 59 años</t>
  </si>
  <si>
    <t>60 años y más</t>
  </si>
  <si>
    <t>Posición en el hogar</t>
  </si>
  <si>
    <t>Jefe</t>
  </si>
  <si>
    <t>Cónyuge</t>
  </si>
  <si>
    <t>Hijo</t>
  </si>
  <si>
    <t>Otros</t>
  </si>
  <si>
    <t>Nivel educativo</t>
  </si>
  <si>
    <t>Hasta primario incompleto</t>
  </si>
  <si>
    <t>Primario completo</t>
  </si>
  <si>
    <t>Secundario incompleto</t>
  </si>
  <si>
    <t>Secundario completo</t>
  </si>
  <si>
    <t>Terc/univ incompleto</t>
  </si>
  <si>
    <t>Terc/univ completo</t>
  </si>
  <si>
    <t>1° Trim 06</t>
  </si>
  <si>
    <t>2° Trim 06</t>
  </si>
  <si>
    <t>3° Trim 06</t>
  </si>
  <si>
    <t>4° Trim 06</t>
  </si>
  <si>
    <t>1° Trim 07</t>
  </si>
  <si>
    <t>Total aglomerados relevados</t>
  </si>
  <si>
    <t>Ingreso per cápita familiar</t>
  </si>
  <si>
    <t>1° quintil</t>
  </si>
  <si>
    <t>2° quintil</t>
  </si>
  <si>
    <t>3° quintil</t>
  </si>
  <si>
    <t>4° quintil</t>
  </si>
  <si>
    <t>5° quintil</t>
  </si>
  <si>
    <t>Grupos de edad</t>
  </si>
  <si>
    <t>Notas:</t>
  </si>
  <si>
    <t>2° Trim 16</t>
  </si>
  <si>
    <t>3° Trim 16</t>
  </si>
  <si>
    <r>
      <t xml:space="preserve">2° Trim 07 </t>
    </r>
    <r>
      <rPr>
        <b/>
        <vertAlign val="superscript"/>
        <sz val="12"/>
        <rFont val="Arial"/>
        <family val="2"/>
      </rPr>
      <t>1</t>
    </r>
  </si>
  <si>
    <r>
      <t xml:space="preserve">4° Trim 07 </t>
    </r>
    <r>
      <rPr>
        <b/>
        <vertAlign val="superscript"/>
        <sz val="12"/>
        <rFont val="Arial"/>
        <family val="2"/>
      </rPr>
      <t>1</t>
    </r>
  </si>
  <si>
    <r>
      <t xml:space="preserve">1° Trim 08 </t>
    </r>
    <r>
      <rPr>
        <b/>
        <vertAlign val="superscript"/>
        <sz val="12"/>
        <rFont val="Arial"/>
        <family val="2"/>
      </rPr>
      <t>1</t>
    </r>
  </si>
  <si>
    <r>
      <t xml:space="preserve">2° Trim 08 </t>
    </r>
    <r>
      <rPr>
        <b/>
        <vertAlign val="superscript"/>
        <sz val="12"/>
        <rFont val="Arial"/>
        <family val="2"/>
      </rPr>
      <t>1</t>
    </r>
  </si>
  <si>
    <r>
      <t xml:space="preserve">3° Trim 08 </t>
    </r>
    <r>
      <rPr>
        <b/>
        <vertAlign val="superscript"/>
        <sz val="12"/>
        <rFont val="Arial"/>
        <family val="2"/>
      </rPr>
      <t>1</t>
    </r>
  </si>
  <si>
    <r>
      <t xml:space="preserve">4° Trim 08 </t>
    </r>
    <r>
      <rPr>
        <b/>
        <vertAlign val="superscript"/>
        <sz val="12"/>
        <rFont val="Arial"/>
        <family val="2"/>
      </rPr>
      <t>1</t>
    </r>
  </si>
  <si>
    <r>
      <t xml:space="preserve">1° Trim 09 </t>
    </r>
    <r>
      <rPr>
        <b/>
        <vertAlign val="superscript"/>
        <sz val="12"/>
        <rFont val="Arial"/>
        <family val="2"/>
      </rPr>
      <t>1</t>
    </r>
  </si>
  <si>
    <r>
      <t xml:space="preserve">2° Trim 09 </t>
    </r>
    <r>
      <rPr>
        <b/>
        <vertAlign val="superscript"/>
        <sz val="12"/>
        <rFont val="Arial"/>
        <family val="2"/>
      </rPr>
      <t>1</t>
    </r>
  </si>
  <si>
    <r>
      <t xml:space="preserve">3° Trim 09 </t>
    </r>
    <r>
      <rPr>
        <b/>
        <vertAlign val="superscript"/>
        <sz val="12"/>
        <rFont val="Arial"/>
        <family val="2"/>
      </rPr>
      <t>1</t>
    </r>
  </si>
  <si>
    <r>
      <t xml:space="preserve">4° Trim 09 </t>
    </r>
    <r>
      <rPr>
        <b/>
        <vertAlign val="superscript"/>
        <sz val="12"/>
        <rFont val="Arial"/>
        <family val="2"/>
      </rPr>
      <t>1</t>
    </r>
  </si>
  <si>
    <r>
      <t xml:space="preserve">1° Trim 10 </t>
    </r>
    <r>
      <rPr>
        <b/>
        <vertAlign val="superscript"/>
        <sz val="12"/>
        <rFont val="Arial"/>
        <family val="2"/>
      </rPr>
      <t>1</t>
    </r>
  </si>
  <si>
    <r>
      <t xml:space="preserve">2° Trim 10 </t>
    </r>
    <r>
      <rPr>
        <b/>
        <vertAlign val="superscript"/>
        <sz val="12"/>
        <rFont val="Arial"/>
        <family val="2"/>
      </rPr>
      <t>1</t>
    </r>
  </si>
  <si>
    <r>
      <t xml:space="preserve">3° Trim 10 </t>
    </r>
    <r>
      <rPr>
        <b/>
        <vertAlign val="superscript"/>
        <sz val="12"/>
        <rFont val="Arial"/>
        <family val="2"/>
      </rPr>
      <t>1</t>
    </r>
  </si>
  <si>
    <r>
      <t xml:space="preserve">4° Trim 10 </t>
    </r>
    <r>
      <rPr>
        <b/>
        <vertAlign val="superscript"/>
        <sz val="12"/>
        <rFont val="Arial"/>
        <family val="2"/>
      </rPr>
      <t>1</t>
    </r>
  </si>
  <si>
    <r>
      <t xml:space="preserve">1° Trim 11 </t>
    </r>
    <r>
      <rPr>
        <b/>
        <vertAlign val="superscript"/>
        <sz val="12"/>
        <rFont val="Arial"/>
        <family val="2"/>
      </rPr>
      <t>1</t>
    </r>
  </si>
  <si>
    <r>
      <t xml:space="preserve">2° Trim 11 </t>
    </r>
    <r>
      <rPr>
        <b/>
        <vertAlign val="superscript"/>
        <sz val="12"/>
        <rFont val="Arial"/>
        <family val="2"/>
      </rPr>
      <t>1</t>
    </r>
  </si>
  <si>
    <r>
      <t xml:space="preserve">3° Trim 11 </t>
    </r>
    <r>
      <rPr>
        <b/>
        <vertAlign val="superscript"/>
        <sz val="12"/>
        <rFont val="Arial"/>
        <family val="2"/>
      </rPr>
      <t>1</t>
    </r>
  </si>
  <si>
    <r>
      <t xml:space="preserve">4° Trim 11 </t>
    </r>
    <r>
      <rPr>
        <b/>
        <vertAlign val="superscript"/>
        <sz val="12"/>
        <rFont val="Arial"/>
        <family val="2"/>
      </rPr>
      <t>1</t>
    </r>
  </si>
  <si>
    <r>
      <t xml:space="preserve">1° Trim 12 </t>
    </r>
    <r>
      <rPr>
        <b/>
        <vertAlign val="superscript"/>
        <sz val="12"/>
        <rFont val="Arial"/>
        <family val="2"/>
      </rPr>
      <t>1</t>
    </r>
  </si>
  <si>
    <r>
      <t xml:space="preserve">2° Trim 12 </t>
    </r>
    <r>
      <rPr>
        <b/>
        <vertAlign val="superscript"/>
        <sz val="12"/>
        <rFont val="Arial"/>
        <family val="2"/>
      </rPr>
      <t>1</t>
    </r>
  </si>
  <si>
    <r>
      <t xml:space="preserve">3° Trim 12 </t>
    </r>
    <r>
      <rPr>
        <b/>
        <vertAlign val="superscript"/>
        <sz val="12"/>
        <rFont val="Arial"/>
        <family val="2"/>
      </rPr>
      <t>1</t>
    </r>
  </si>
  <si>
    <r>
      <t xml:space="preserve">4° Trim 12 </t>
    </r>
    <r>
      <rPr>
        <b/>
        <vertAlign val="superscript"/>
        <sz val="12"/>
        <rFont val="Arial"/>
        <family val="2"/>
      </rPr>
      <t>1</t>
    </r>
  </si>
  <si>
    <r>
      <t xml:space="preserve">1° Trim 13 </t>
    </r>
    <r>
      <rPr>
        <b/>
        <vertAlign val="superscript"/>
        <sz val="12"/>
        <rFont val="Arial"/>
        <family val="2"/>
      </rPr>
      <t>1</t>
    </r>
  </si>
  <si>
    <r>
      <t xml:space="preserve">2° Trim 13 </t>
    </r>
    <r>
      <rPr>
        <b/>
        <vertAlign val="superscript"/>
        <sz val="12"/>
        <rFont val="Arial"/>
        <family val="2"/>
      </rPr>
      <t>1</t>
    </r>
  </si>
  <si>
    <r>
      <t xml:space="preserve">3° Trim 13 </t>
    </r>
    <r>
      <rPr>
        <b/>
        <vertAlign val="superscript"/>
        <sz val="12"/>
        <rFont val="Arial"/>
        <family val="2"/>
      </rPr>
      <t>1</t>
    </r>
  </si>
  <si>
    <r>
      <t xml:space="preserve">4° Trim 13 </t>
    </r>
    <r>
      <rPr>
        <b/>
        <vertAlign val="superscript"/>
        <sz val="12"/>
        <rFont val="Arial"/>
        <family val="2"/>
      </rPr>
      <t>1</t>
    </r>
  </si>
  <si>
    <r>
      <t xml:space="preserve">2° Trim 14 </t>
    </r>
    <r>
      <rPr>
        <b/>
        <vertAlign val="superscript"/>
        <sz val="12"/>
        <rFont val="Arial"/>
        <family val="2"/>
      </rPr>
      <t>1</t>
    </r>
  </si>
  <si>
    <r>
      <t xml:space="preserve">3° Trim 14 </t>
    </r>
    <r>
      <rPr>
        <b/>
        <vertAlign val="superscript"/>
        <sz val="12"/>
        <rFont val="Arial"/>
        <family val="2"/>
      </rPr>
      <t>1</t>
    </r>
  </si>
  <si>
    <r>
      <t xml:space="preserve">4° Trim 14 </t>
    </r>
    <r>
      <rPr>
        <b/>
        <vertAlign val="superscript"/>
        <sz val="12"/>
        <rFont val="Arial"/>
        <family val="2"/>
      </rPr>
      <t>1</t>
    </r>
  </si>
  <si>
    <r>
      <t xml:space="preserve">1° Trim 15 </t>
    </r>
    <r>
      <rPr>
        <b/>
        <vertAlign val="superscript"/>
        <sz val="12"/>
        <rFont val="Arial"/>
        <family val="2"/>
      </rPr>
      <t>1</t>
    </r>
  </si>
  <si>
    <t xml:space="preserve">Tasa de empleo según sexo, grupos de edad, posición en el hogar, nivel educativo y quintil de ingreso per cápita familiar </t>
  </si>
  <si>
    <r>
      <t xml:space="preserve">3° Trim 07 </t>
    </r>
    <r>
      <rPr>
        <b/>
        <vertAlign val="superscript"/>
        <sz val="12"/>
        <rFont val="Arial"/>
        <family val="2"/>
      </rPr>
      <t>2</t>
    </r>
  </si>
  <si>
    <t>2. No se presenta la información debido a que en dicho trimestre no se relevaron algunos de los principales aglomerados de la EPH (GBA, Mar del Plata, Bahía Blanca y Gran La Plata).</t>
  </si>
  <si>
    <t>3. A partir del 1° trimestre de 2014 todas las viviendas seleccionadas para la EPH fueron extraídas de la Muestra Maestra Urbana de Viviendas (MMUVRA), basada en el CNPHV 2010, y todas las estimaciones finales se ajustan de acuerdo a las proyecciones de población del CNPHyV 2010. Esto produce cambios de diferente significación en relación a las estructuras de las poblaciones proyectadas lo cual impacta en las estimaciones sobre propiedades asociadas a la distribución por sexo o por edades. Las poblaciones ajustadas según las proyecciones del CNPHyV 2010 exhiben Tasas de actividad y de empleo menores que las ajustadas según las proyecciones del CNPHyV 2001. Es decir que las estimaciones de la EPH a partir del año 2014 no son estrictamente comparables con las de períodos anteriores.</t>
  </si>
  <si>
    <t>4° Trim 16</t>
  </si>
  <si>
    <t>1° Trim 17</t>
  </si>
  <si>
    <t>2° Trim 17</t>
  </si>
  <si>
    <t>3° Trim 17</t>
  </si>
  <si>
    <t>4° Trim 17</t>
  </si>
  <si>
    <t>1° Trim 18</t>
  </si>
  <si>
    <t>2° Trim 18</t>
  </si>
  <si>
    <t>3° Trim 18</t>
  </si>
  <si>
    <r>
      <t xml:space="preserve">1° Trim 14 </t>
    </r>
    <r>
      <rPr>
        <b/>
        <vertAlign val="superscript"/>
        <sz val="12"/>
        <rFont val="Arial"/>
        <family val="2"/>
      </rPr>
      <t>1 3</t>
    </r>
  </si>
  <si>
    <r>
      <t xml:space="preserve">3° Trim 15 </t>
    </r>
    <r>
      <rPr>
        <b/>
        <vertAlign val="superscript"/>
        <sz val="12"/>
        <rFont val="Arial"/>
        <family val="2"/>
      </rPr>
      <t>1 4</t>
    </r>
  </si>
  <si>
    <r>
      <t xml:space="preserve">2° Trim 15 </t>
    </r>
    <r>
      <rPr>
        <b/>
        <vertAlign val="superscript"/>
        <sz val="12"/>
        <rFont val="Arial"/>
        <family val="2"/>
      </rPr>
      <t xml:space="preserve">1 </t>
    </r>
  </si>
  <si>
    <r>
      <t xml:space="preserve">4° Trim 15 </t>
    </r>
    <r>
      <rPr>
        <b/>
        <vertAlign val="superscript"/>
        <sz val="12"/>
        <rFont val="Arial"/>
        <family val="2"/>
      </rPr>
      <t>1 4</t>
    </r>
  </si>
  <si>
    <r>
      <t xml:space="preserve">1° Trim 16 </t>
    </r>
    <r>
      <rPr>
        <b/>
        <vertAlign val="superscript"/>
        <sz val="12"/>
        <rFont val="Arial"/>
        <family val="2"/>
      </rPr>
      <t>4</t>
    </r>
  </si>
  <si>
    <t>4. Información no disponible</t>
  </si>
  <si>
    <t>1.El INDEC ha dispuesto que las series estadísticas de la EPH del período comprendido entre el 2° trimestre de 2007 y hasta diciembre 2015 deben ser consideradas con reservas, conforme a la emergencia estadística (Decretos 181/15 y 55/16) . Ver "Consideración sobre la revisión, evaluación y recuperación de la EPH" publicado por INDEC el 23/8/2016.</t>
  </si>
  <si>
    <t>3° Trim 03</t>
  </si>
  <si>
    <t>4° Trim 03</t>
  </si>
  <si>
    <t>1° Trim 04</t>
  </si>
  <si>
    <t>2° Trim 04</t>
  </si>
  <si>
    <t>3° Trim 04</t>
  </si>
  <si>
    <t>4° Trim 04</t>
  </si>
  <si>
    <t>1° Trim 05</t>
  </si>
  <si>
    <t>2° Trim 05</t>
  </si>
  <si>
    <t>3° Trim 05</t>
  </si>
  <si>
    <t>4° Trim 05</t>
  </si>
  <si>
    <t>4° Trim 18</t>
  </si>
  <si>
    <t>1° Trim 19</t>
  </si>
  <si>
    <t>2° Trim 19</t>
  </si>
  <si>
    <t>3° Trim 19</t>
  </si>
  <si>
    <t>4° Trim 19</t>
  </si>
  <si>
    <t>1° Trim 20</t>
  </si>
  <si>
    <t>2° Trim 20</t>
  </si>
  <si>
    <t>3° Trim 20</t>
  </si>
  <si>
    <t>4° Trim 20</t>
  </si>
  <si>
    <t>1° Trim 21</t>
  </si>
  <si>
    <t>2° Trim 21</t>
  </si>
  <si>
    <t>3° Trim 21</t>
  </si>
  <si>
    <t>4° Trim 21</t>
  </si>
  <si>
    <t>1° Trim 22</t>
  </si>
  <si>
    <t>18 a 24 años</t>
  </si>
  <si>
    <t>2° Trim 22</t>
  </si>
  <si>
    <t>3° Trim 22</t>
  </si>
  <si>
    <t>4° Trim 22</t>
  </si>
  <si>
    <t>1° Trim 23</t>
  </si>
  <si>
    <t>2° Trim 23</t>
  </si>
  <si>
    <t>3° Trim 23</t>
  </si>
  <si>
    <t>4° Trim 23</t>
  </si>
  <si>
    <t>1° Trim 24</t>
  </si>
  <si>
    <t>Fuente: STEySS – Dirección General de Estudios y Estadísticas Laborales, en base a EPH (INDEC).</t>
  </si>
  <si>
    <t>2° Trim 24</t>
  </si>
  <si>
    <t>3° Trim 24</t>
  </si>
  <si>
    <t>4° Trim 24</t>
  </si>
  <si>
    <t>1° Trim 25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</si>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</sst>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* #,##0.00_ ;_ * \-#,##0.00_ ;_ * &quot;-&quot;??_ ;_ @_ "/>
    <numFmt numFmtId="165" formatCode="_ * #,##0.0_ ;_ * \-#,##0.0_ ;_ * &quot;-&quot;??_ ;_ @_ "/>
    <numFmt numFmtId="166" formatCode="_ * #,##0_ ;_ * \-#,##0_ ;_ * &quot;-&quot;??_ ;_ @_ "/>
    <numFmt numFmtId="167" formatCode="#.##000"/>
    <numFmt numFmtId="168" formatCode="\$#,#00"/>
    <numFmt numFmtId="169" formatCode="#,#00"/>
    <numFmt numFmtId="170" formatCode="#.##0,"/>
    <numFmt numFmtId="171" formatCode="\$#,"/>
    <numFmt numFmtId="172" formatCode="_ [$€-2]\ * #,##0.00_ ;_ [$€-2]\ * \-#,##0.00_ ;_ [$€-2]\ * &quot;-&quot;??_ "/>
    <numFmt numFmtId="173" formatCode="&quot;$&quot;#,##0\ ;\(&quot;$&quot;#,##0\)"/>
  </numFmts>
  <fonts count="46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Arial"/>
      <family val="2"/>
    </font>
    <font>
      <sz val="11"/>
      <color indexed="17"/>
      <name val="Calibri"/>
      <family val="2"/>
    </font>
    <font>
      <b/>
      <sz val="1"/>
      <color indexed="8"/>
      <name val="Courier"/>
      <family val="3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sz val="10"/>
      <color indexed="2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2"/>
      <name val="Helv"/>
    </font>
    <font>
      <i/>
      <sz val="10"/>
      <color indexed="23"/>
      <name val="Arial"/>
      <family val="2"/>
    </font>
    <font>
      <sz val="1"/>
      <color indexed="8"/>
      <name val="Courier"/>
      <family val="3"/>
    </font>
    <font>
      <sz val="10"/>
      <color indexed="17"/>
      <name val="Arial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6"/>
      <name val="Arial"/>
      <family val="2"/>
    </font>
    <font>
      <sz val="11"/>
      <color indexed="20"/>
      <name val="Calibri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name val="Verdana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0"/>
      <color indexed="10"/>
      <name val="Arial"/>
      <family val="2"/>
    </font>
    <font>
      <sz val="8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b/>
      <sz val="11"/>
      <color indexed="9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b/>
      <sz val="10"/>
      <color theme="4"/>
      <name val="Arial"/>
      <family val="2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01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0" borderId="0">
      <protection locked="0"/>
    </xf>
    <xf numFmtId="0" fontId="8" fillId="0" borderId="0">
      <protection locked="0"/>
    </xf>
    <xf numFmtId="0" fontId="9" fillId="20" borderId="1" applyNumberFormat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3" applyNumberFormat="0" applyFill="0" applyAlignment="0" applyProtection="0"/>
    <xf numFmtId="0" fontId="13" fillId="21" borderId="2" applyNumberFormat="0" applyAlignment="0" applyProtection="0"/>
    <xf numFmtId="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6" fillId="7" borderId="1" applyNumberFormat="0" applyAlignment="0" applyProtection="0"/>
    <xf numFmtId="0" fontId="17" fillId="0" borderId="0"/>
    <xf numFmtId="172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>
      <protection locked="0"/>
    </xf>
    <xf numFmtId="169" fontId="19" fillId="0" borderId="0">
      <protection locked="0"/>
    </xf>
    <xf numFmtId="2" fontId="14" fillId="0" borderId="0" applyFont="0" applyFill="0" applyBorder="0" applyAlignment="0" applyProtection="0"/>
    <xf numFmtId="0" fontId="20" fillId="4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4" applyNumberFormat="0" applyFill="0" applyAlignment="0" applyProtection="0"/>
    <xf numFmtId="0" fontId="23" fillId="0" borderId="0" applyNumberFormat="0" applyFill="0" applyBorder="0" applyAlignment="0" applyProtection="0"/>
    <xf numFmtId="0" fontId="24" fillId="3" borderId="0" applyNumberFormat="0" applyBorder="0" applyAlignment="0" applyProtection="0"/>
    <xf numFmtId="0" fontId="25" fillId="7" borderId="1" applyNumberFormat="0" applyAlignment="0" applyProtection="0"/>
    <xf numFmtId="0" fontId="26" fillId="0" borderId="3" applyNumberFormat="0" applyFill="0" applyAlignment="0" applyProtection="0"/>
    <xf numFmtId="164" fontId="1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68" fontId="19" fillId="0" borderId="0">
      <protection locked="0"/>
    </xf>
    <xf numFmtId="171" fontId="19" fillId="0" borderId="0">
      <protection locked="0"/>
    </xf>
    <xf numFmtId="0" fontId="27" fillId="22" borderId="0" applyNumberFormat="0" applyBorder="0" applyAlignment="0" applyProtection="0"/>
    <xf numFmtId="0" fontId="39" fillId="0" borderId="0"/>
    <xf numFmtId="0" fontId="39" fillId="0" borderId="0"/>
    <xf numFmtId="0" fontId="28" fillId="0" borderId="0"/>
    <xf numFmtId="0" fontId="1" fillId="23" borderId="5" applyNumberFormat="0" applyFont="0" applyAlignment="0" applyProtection="0"/>
    <xf numFmtId="0" fontId="1" fillId="23" borderId="5" applyNumberFormat="0" applyFont="0" applyAlignment="0" applyProtection="0"/>
    <xf numFmtId="0" fontId="29" fillId="20" borderId="6" applyNumberFormat="0" applyAlignment="0" applyProtection="0"/>
    <xf numFmtId="167" fontId="19" fillId="0" borderId="0">
      <protection locked="0"/>
    </xf>
    <xf numFmtId="170" fontId="19" fillId="0" borderId="0">
      <protection locked="0"/>
    </xf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15" fillId="0" borderId="4" applyNumberFormat="0" applyFill="0" applyAlignment="0" applyProtection="0"/>
    <xf numFmtId="0" fontId="19" fillId="0" borderId="9">
      <protection locked="0"/>
    </xf>
    <xf numFmtId="0" fontId="36" fillId="0" borderId="0" applyNumberFormat="0" applyFill="0" applyBorder="0" applyAlignment="0" applyProtection="0"/>
  </cellStyleXfs>
  <cellXfs count="104">
    <xf numFmtId="0" fontId="0" fillId="0" borderId="0" xfId="0"/>
    <xf numFmtId="0" fontId="38" fillId="0" borderId="0" xfId="85" applyFont="1" applyBorder="1" applyAlignment="1">
      <alignment horizontal="center" vertical="center"/>
    </xf>
    <xf numFmtId="0" fontId="39" fillId="0" borderId="0" xfId="85" applyFont="1" applyFill="1" applyBorder="1" applyAlignment="1">
      <alignment vertical="center"/>
    </xf>
    <xf numFmtId="0" fontId="40" fillId="24" borderId="0" xfId="84" applyFont="1" applyFill="1" applyBorder="1" applyAlignment="1">
      <alignment horizontal="center" vertical="center" wrapText="1"/>
    </xf>
    <xf numFmtId="166" fontId="38" fillId="0" borderId="10" xfId="77" applyNumberFormat="1" applyFont="1" applyBorder="1" applyAlignment="1">
      <alignment horizontal="left" vertical="center"/>
    </xf>
    <xf numFmtId="165" fontId="38" fillId="0" borderId="10" xfId="77" applyNumberFormat="1" applyFont="1" applyBorder="1" applyAlignment="1">
      <alignment horizontal="right" vertical="center"/>
    </xf>
    <xf numFmtId="0" fontId="39" fillId="0" borderId="0" xfId="0" applyFont="1" applyFill="1" applyBorder="1" applyAlignment="1">
      <alignment horizontal="center" vertical="center"/>
    </xf>
    <xf numFmtId="166" fontId="38" fillId="0" borderId="11" xfId="77" applyNumberFormat="1" applyFont="1" applyBorder="1" applyAlignment="1">
      <alignment vertical="center"/>
    </xf>
    <xf numFmtId="165" fontId="38" fillId="0" borderId="11" xfId="77" applyNumberFormat="1" applyFont="1" applyBorder="1" applyAlignment="1">
      <alignment vertical="center"/>
    </xf>
    <xf numFmtId="165" fontId="39" fillId="0" borderId="11" xfId="0" applyNumberFormat="1" applyFont="1" applyBorder="1" applyAlignment="1">
      <alignment vertical="center"/>
    </xf>
    <xf numFmtId="165" fontId="38" fillId="0" borderId="11" xfId="77" applyNumberFormat="1" applyFont="1" applyBorder="1" applyAlignment="1">
      <alignment horizontal="left" vertical="center"/>
    </xf>
    <xf numFmtId="0" fontId="39" fillId="0" borderId="0" xfId="0" applyFont="1" applyFill="1" applyBorder="1" applyAlignment="1">
      <alignment vertical="center"/>
    </xf>
    <xf numFmtId="166" fontId="39" fillId="0" borderId="0" xfId="77" applyNumberFormat="1" applyFont="1" applyBorder="1" applyAlignment="1">
      <alignment horizontal="left" vertical="center" indent="1"/>
    </xf>
    <xf numFmtId="165" fontId="39" fillId="0" borderId="0" xfId="77" applyNumberFormat="1" applyFont="1" applyBorder="1" applyAlignment="1">
      <alignment vertical="center"/>
    </xf>
    <xf numFmtId="166" fontId="38" fillId="0" borderId="10" xfId="77" applyNumberFormat="1" applyFont="1" applyBorder="1" applyAlignment="1">
      <alignment vertical="center"/>
    </xf>
    <xf numFmtId="165" fontId="38" fillId="0" borderId="10" xfId="77" applyNumberFormat="1" applyFont="1" applyBorder="1" applyAlignment="1">
      <alignment vertical="center"/>
    </xf>
    <xf numFmtId="165" fontId="39" fillId="0" borderId="10" xfId="0" applyNumberFormat="1" applyFont="1" applyBorder="1" applyAlignment="1">
      <alignment vertical="center"/>
    </xf>
    <xf numFmtId="165" fontId="38" fillId="0" borderId="10" xfId="77" applyNumberFormat="1" applyFont="1" applyBorder="1" applyAlignment="1">
      <alignment horizontal="left" vertical="center"/>
    </xf>
    <xf numFmtId="165" fontId="39" fillId="0" borderId="0" xfId="79" applyNumberFormat="1" applyFont="1" applyBorder="1" applyAlignment="1">
      <alignment vertical="center"/>
    </xf>
    <xf numFmtId="165" fontId="39" fillId="0" borderId="0" xfId="0" applyNumberFormat="1" applyFont="1" applyFill="1" applyBorder="1"/>
    <xf numFmtId="166" fontId="39" fillId="0" borderId="10" xfId="79" applyNumberFormat="1" applyFont="1" applyBorder="1" applyAlignment="1">
      <alignment horizontal="left" vertical="center" indent="1"/>
    </xf>
    <xf numFmtId="165" fontId="39" fillId="0" borderId="10" xfId="79" applyNumberFormat="1" applyFont="1" applyBorder="1" applyAlignment="1">
      <alignment vertical="center"/>
    </xf>
    <xf numFmtId="166" fontId="39" fillId="0" borderId="0" xfId="77" applyNumberFormat="1" applyFont="1" applyBorder="1" applyAlignment="1">
      <alignment vertical="center"/>
    </xf>
    <xf numFmtId="166" fontId="39" fillId="0" borderId="0" xfId="77" applyNumberFormat="1" applyFont="1" applyBorder="1" applyAlignment="1">
      <alignment horizontal="right" vertical="center"/>
    </xf>
    <xf numFmtId="0" fontId="39" fillId="0" borderId="0" xfId="0" applyFont="1" applyBorder="1" applyAlignment="1">
      <alignment horizontal="left" vertical="center" wrapText="1"/>
    </xf>
    <xf numFmtId="0" fontId="4" fillId="24" borderId="0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8" fillId="0" borderId="0" xfId="85" applyFont="1" applyFill="1" applyBorder="1" applyAlignment="1">
      <alignment horizontal="center"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42" fillId="25" borderId="10" xfId="85" applyFont="1" applyFill="1" applyBorder="1" applyAlignment="1">
      <alignment horizontal="center" vertical="center"/>
    </xf>
    <xf numFmtId="0" fontId="1" fillId="0" borderId="0" xfId="85" applyFont="1" applyFill="1" applyBorder="1" applyAlignment="1">
      <alignment vertical="center"/>
    </xf>
    <xf numFmtId="0" fontId="39" fillId="0" borderId="0" xfId="0" applyFont="1" applyBorder="1" applyAlignment="1">
      <alignment horizontal="left" vertical="center" wrapText="1"/>
    </xf>
    <xf numFmtId="0" fontId="41" fillId="24" borderId="12" xfId="85" applyFont="1" applyFill="1" applyBorder="1" applyAlignment="1">
      <alignment horizontal="center"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165" fontId="38" fillId="0" borderId="10" xfId="77" applyNumberFormat="1" applyFont="1" applyFill="1" applyBorder="1" applyAlignment="1">
      <alignment horizontal="right" vertical="center"/>
    </xf>
    <xf numFmtId="165" fontId="38" fillId="0" borderId="11" xfId="77" applyNumberFormat="1" applyFont="1" applyFill="1" applyBorder="1" applyAlignment="1">
      <alignment horizontal="left" vertical="center"/>
    </xf>
    <xf numFmtId="165" fontId="39" fillId="0" borderId="0" xfId="77" applyNumberFormat="1" applyFont="1" applyFill="1" applyBorder="1" applyAlignment="1">
      <alignment vertical="center"/>
    </xf>
    <xf numFmtId="165" fontId="38" fillId="0" borderId="10" xfId="77" applyNumberFormat="1" applyFont="1" applyFill="1" applyBorder="1" applyAlignment="1">
      <alignment horizontal="left" vertical="center"/>
    </xf>
    <xf numFmtId="165" fontId="39" fillId="0" borderId="10" xfId="0" applyNumberFormat="1" applyFont="1" applyFill="1" applyBorder="1" applyAlignment="1">
      <alignment vertical="center"/>
    </xf>
    <xf numFmtId="165" fontId="1" fillId="0" borderId="0" xfId="77" applyNumberFormat="1" applyFont="1" applyFill="1" applyBorder="1" applyAlignment="1">
      <alignment horizontal="right" vertical="center"/>
    </xf>
    <xf numFmtId="165" fontId="1" fillId="0" borderId="10" xfId="79" applyNumberFormat="1" applyFont="1" applyFill="1" applyBorder="1" applyAlignment="1">
      <alignment horizontal="right" vertical="center"/>
    </xf>
    <xf numFmtId="165" fontId="38" fillId="0" borderId="11" xfId="77" applyNumberFormat="1" applyFont="1" applyBorder="1" applyAlignment="1">
      <alignment horizontal="center" vertical="center"/>
    </xf>
    <xf numFmtId="165" fontId="38" fillId="0" borderId="10" xfId="77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42" fillId="25" borderId="14" xfId="85" applyFont="1" applyFill="1" applyBorder="1" applyAlignment="1">
      <alignment horizontal="center" vertical="center"/>
    </xf>
    <xf numFmtId="165" fontId="1" fillId="0" borderId="0" xfId="77" applyNumberFormat="1" applyFont="1" applyBorder="1" applyAlignment="1">
      <alignment vertical="center"/>
    </xf>
    <xf numFmtId="165" fontId="1" fillId="0" borderId="0" xfId="79" applyNumberFormat="1" applyFont="1" applyBorder="1" applyAlignment="1">
      <alignment vertical="center"/>
    </xf>
    <xf numFmtId="165" fontId="1" fillId="0" borderId="10" xfId="79" applyNumberFormat="1" applyFont="1" applyBorder="1" applyAlignment="1">
      <alignment vertical="center"/>
    </xf>
    <xf numFmtId="166" fontId="1" fillId="0" borderId="0" xfId="77" applyNumberFormat="1" applyFont="1" applyBorder="1" applyAlignment="1">
      <alignment vertical="center"/>
    </xf>
    <xf numFmtId="0" fontId="45" fillId="0" borderId="0" xfId="0" applyFont="1" applyAlignment="1">
      <alignment horizontal="left" vertical="center"/>
    </xf>
    <xf numFmtId="165" fontId="38" fillId="0" borderId="11" xfId="77" applyNumberFormat="1" applyFont="1" applyBorder="1" applyAlignment="1">
      <alignment horizontal="right" vertical="center"/>
    </xf>
    <xf numFmtId="165" fontId="1" fillId="0" borderId="0" xfId="0" applyNumberFormat="1" applyFont="1" applyFill="1" applyBorder="1"/>
    <xf numFmtId="165" fontId="1" fillId="0" borderId="10" xfId="0" applyNumberFormat="1" applyFont="1" applyBorder="1" applyAlignment="1">
      <alignment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166" fontId="1" fillId="0" borderId="0" xfId="77" applyNumberFormat="1" applyFont="1" applyBorder="1" applyAlignment="1">
      <alignment horizontal="left" vertical="center" inden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166" fontId="38" fillId="26" borderId="0" xfId="79" applyNumberFormat="1" applyFont="1" applyFill="1" applyBorder="1" applyAlignment="1">
      <alignment horizontal="right" vertical="center"/>
    </xf>
    <xf numFmtId="0" fontId="4" fillId="24" borderId="0" xfId="0" applyFont="1" applyFill="1" applyBorder="1" applyAlignment="1">
      <alignment horizontal="left" vertical="center"/>
    </xf>
    <xf numFmtId="0" fontId="44" fillId="0" borderId="0" xfId="85" applyFont="1" applyBorder="1" applyAlignment="1">
      <alignment horizontal="left" vertical="center"/>
    </xf>
    <xf numFmtId="0" fontId="40" fillId="24" borderId="0" xfId="84" applyFont="1" applyFill="1" applyBorder="1" applyAlignment="1">
      <alignment horizontal="left" vertical="center" wrapText="1"/>
    </xf>
    <xf numFmtId="0" fontId="41" fillId="24" borderId="12" xfId="85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</cellXfs>
  <cellStyles count="101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Énfasis1" xfId="7" builtinId="30" customBuiltin="1"/>
    <cellStyle name="20% - Énfasis2" xfId="8" builtinId="34" customBuiltin="1"/>
    <cellStyle name="20% - Énfasis3" xfId="9" builtinId="38" customBuiltin="1"/>
    <cellStyle name="20% - Énfasis4" xfId="10" builtinId="42" customBuiltin="1"/>
    <cellStyle name="20% - Énfasis5" xfId="11" builtinId="46" customBuiltin="1"/>
    <cellStyle name="20% - Énfasis6" xfId="12" builtinId="50" customBuiltin="1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40% - Énfasis1" xfId="19" builtinId="31" customBuiltin="1"/>
    <cellStyle name="40% - Énfasis2" xfId="20" builtinId="35" customBuiltin="1"/>
    <cellStyle name="40% - Énfasis3" xfId="21" builtinId="39" customBuiltin="1"/>
    <cellStyle name="40% - Énfasis4" xfId="22" builtinId="43" customBuiltin="1"/>
    <cellStyle name="40% - Énfasis5" xfId="23" builtinId="47" customBuiltin="1"/>
    <cellStyle name="40% - Énfasis6" xfId="24" builtinId="51" customBuiltin="1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60% - Énfasis1" xfId="31" builtinId="32" customBuiltin="1"/>
    <cellStyle name="60% - Énfasis2" xfId="32" builtinId="36" customBuiltin="1"/>
    <cellStyle name="60% - Énfasis3" xfId="33" builtinId="40" customBuiltin="1"/>
    <cellStyle name="60% - Énfasis4" xfId="34" builtinId="44" customBuiltin="1"/>
    <cellStyle name="60% - Énfasis5" xfId="35" builtinId="48" customBuiltin="1"/>
    <cellStyle name="60% - Énfasis6" xfId="36" builtinId="52" customBuiltin="1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Bueno" xfId="44" builtinId="26" customBuiltin="1"/>
    <cellStyle name="Cabecera 1" xfId="45"/>
    <cellStyle name="Cabecera 2" xfId="46"/>
    <cellStyle name="Calculation" xfId="47"/>
    <cellStyle name="Cálculo" xfId="48" builtinId="22" customBuiltin="1"/>
    <cellStyle name="Celda de comprobación" xfId="49" builtinId="23" customBuiltin="1"/>
    <cellStyle name="Celda vinculada" xfId="50" builtinId="24" customBuiltin="1"/>
    <cellStyle name="Check Cell" xfId="51"/>
    <cellStyle name="Comma0" xfId="52"/>
    <cellStyle name="Currency0" xfId="53"/>
    <cellStyle name="Date" xfId="54"/>
    <cellStyle name="Encabezado 1" xfId="96" builtinId="16" customBuiltin="1"/>
    <cellStyle name="Encabezado 4" xfId="55" builtinId="19" customBuiltin="1"/>
    <cellStyle name="Énfasis1" xfId="56" builtinId="29" customBuiltin="1"/>
    <cellStyle name="Énfasis2" xfId="57" builtinId="33" customBuiltin="1"/>
    <cellStyle name="Énfasis3" xfId="58" builtinId="37" customBuiltin="1"/>
    <cellStyle name="Énfasis4" xfId="59" builtinId="41" customBuiltin="1"/>
    <cellStyle name="Énfasis5" xfId="60" builtinId="45" customBuiltin="1"/>
    <cellStyle name="Énfasis6" xfId="61" builtinId="49" customBuiltin="1"/>
    <cellStyle name="Entrada" xfId="62" builtinId="20" customBuiltin="1"/>
    <cellStyle name="ESTI1 - Modelo1" xfId="63"/>
    <cellStyle name="Euro" xfId="64"/>
    <cellStyle name="Explanatory Text" xfId="65"/>
    <cellStyle name="Fecha" xfId="66"/>
    <cellStyle name="Fijo" xfId="67"/>
    <cellStyle name="Fixed" xfId="68"/>
    <cellStyle name="Good" xfId="69"/>
    <cellStyle name="Heading 1" xfId="70"/>
    <cellStyle name="Heading 2" xfId="71"/>
    <cellStyle name="Heading 3" xfId="72"/>
    <cellStyle name="Heading 4" xfId="73"/>
    <cellStyle name="Incorrecto" xfId="74" builtinId="27" customBuiltin="1"/>
    <cellStyle name="Input" xfId="75"/>
    <cellStyle name="Linked Cell" xfId="76"/>
    <cellStyle name="Millares" xfId="77" builtinId="3"/>
    <cellStyle name="Millares 2 2" xfId="78"/>
    <cellStyle name="Millares 3" xfId="79"/>
    <cellStyle name="Monetario" xfId="80"/>
    <cellStyle name="Monetario0" xfId="81"/>
    <cellStyle name="Neutral" xfId="82" builtinId="28" customBuiltin="1"/>
    <cellStyle name="Normal" xfId="0" builtinId="0"/>
    <cellStyle name="Normal 2 2" xfId="83"/>
    <cellStyle name="Normal_C1 (2)" xfId="84"/>
    <cellStyle name="Normal_Cuadros tasas trimestrales" xfId="85"/>
    <cellStyle name="Notas" xfId="86" builtinId="10" customBuiltin="1"/>
    <cellStyle name="Note" xfId="87"/>
    <cellStyle name="Output" xfId="88"/>
    <cellStyle name="Punto" xfId="89"/>
    <cellStyle name="Punto0" xfId="90"/>
    <cellStyle name="Salida" xfId="91" builtinId="21" customBuiltin="1"/>
    <cellStyle name="Texto de advertencia" xfId="92" builtinId="11" customBuiltin="1"/>
    <cellStyle name="Texto explicativo" xfId="93" builtinId="53" customBuiltin="1"/>
    <cellStyle name="Title" xfId="94"/>
    <cellStyle name="Título" xfId="95" builtinId="15" customBuiltin="1"/>
    <cellStyle name="Título 2" xfId="97" builtinId="17" customBuiltin="1"/>
    <cellStyle name="Título 3" xfId="98" builtinId="18" customBuiltin="1"/>
    <cellStyle name="Total" xfId="99" builtinId="25" customBuiltin="1"/>
    <cellStyle name="Warning Text" xfId="10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_DNRMT\ESTUDIOS\PROVI\GRAL\CUADROS\C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PROVI\GRAL\CUADROS\C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  <sheetName val="c3_ fto"/>
      <sheetName val="C3 Base Tran"/>
      <sheetName val="pbg pbgpc "/>
      <sheetName val="pbg1 pbg2 pbg3"/>
      <sheetName val="vab rem"/>
      <sheetName val="ex"/>
      <sheetName val="pre1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J85"/>
  <sheetViews>
    <sheetView showGridLines="0" tabSelected="1" zoomScale="70" zoomScaleNormal="70" workbookViewId="0">
      <selection activeCell="A4" sqref="A4"/>
    </sheetView>
  </sheetViews>
  <sheetFormatPr baseColWidth="10" defaultColWidth="11.453125" defaultRowHeight="0" customHeight="1" zeroHeight="1" x14ac:dyDescent="0.25"/>
  <cols>
    <col min="1" max="1" width="29.54296875" style="26" customWidth="1"/>
    <col min="2" max="11" width="19.54296875" style="57" customWidth="1"/>
    <col min="12" max="62" width="19.54296875" style="26" customWidth="1"/>
    <col min="63" max="63" width="19.54296875" style="58" customWidth="1"/>
    <col min="64" max="88" width="19.54296875" style="26" customWidth="1"/>
    <col min="89" max="16384" width="11.453125" style="11"/>
  </cols>
  <sheetData>
    <row r="1" spans="1:88" s="2" customFormat="1" ht="22.5" customHeight="1" x14ac:dyDescent="0.2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50.15" customHeight="1" x14ac:dyDescent="0.25">
      <c r="A2" s="98" t="s">
        <v>67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</row>
    <row r="3" spans="1:88" s="2" customFormat="1" ht="24" customHeight="1" x14ac:dyDescent="0.25">
      <c r="A3" s="99" t="s">
        <v>26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</row>
    <row r="4" spans="1:88" s="27" customFormat="1" ht="30" customHeight="1" thickBot="1" x14ac:dyDescent="0.3">
      <c r="A4" s="30" t="s">
        <v>124</v>
      </c>
      <c r="B4" s="60" t="s">
        <v>86</v>
      </c>
      <c r="C4" s="60" t="s">
        <v>87</v>
      </c>
      <c r="D4" s="60" t="s">
        <v>88</v>
      </c>
      <c r="E4" s="60" t="s">
        <v>89</v>
      </c>
      <c r="F4" s="60" t="s">
        <v>90</v>
      </c>
      <c r="G4" s="60" t="s">
        <v>91</v>
      </c>
      <c r="H4" s="60" t="s">
        <v>92</v>
      </c>
      <c r="I4" s="60" t="s">
        <v>93</v>
      </c>
      <c r="J4" s="60" t="s">
        <v>94</v>
      </c>
      <c r="K4" s="60" t="s">
        <v>95</v>
      </c>
      <c r="L4" s="30" t="s">
        <v>21</v>
      </c>
      <c r="M4" s="30" t="s">
        <v>22</v>
      </c>
      <c r="N4" s="30" t="s">
        <v>23</v>
      </c>
      <c r="O4" s="30" t="s">
        <v>24</v>
      </c>
      <c r="P4" s="30" t="s">
        <v>25</v>
      </c>
      <c r="Q4" s="30" t="s">
        <v>37</v>
      </c>
      <c r="R4" s="30" t="s">
        <v>68</v>
      </c>
      <c r="S4" s="30" t="s">
        <v>38</v>
      </c>
      <c r="T4" s="30" t="s">
        <v>39</v>
      </c>
      <c r="U4" s="30" t="s">
        <v>40</v>
      </c>
      <c r="V4" s="30" t="s">
        <v>41</v>
      </c>
      <c r="W4" s="30" t="s">
        <v>42</v>
      </c>
      <c r="X4" s="30" t="s">
        <v>43</v>
      </c>
      <c r="Y4" s="30" t="s">
        <v>44</v>
      </c>
      <c r="Z4" s="30" t="s">
        <v>45</v>
      </c>
      <c r="AA4" s="30" t="s">
        <v>46</v>
      </c>
      <c r="AB4" s="30" t="s">
        <v>47</v>
      </c>
      <c r="AC4" s="30" t="s">
        <v>48</v>
      </c>
      <c r="AD4" s="30" t="s">
        <v>49</v>
      </c>
      <c r="AE4" s="30" t="s">
        <v>50</v>
      </c>
      <c r="AF4" s="30" t="s">
        <v>51</v>
      </c>
      <c r="AG4" s="30" t="s">
        <v>52</v>
      </c>
      <c r="AH4" s="30" t="s">
        <v>53</v>
      </c>
      <c r="AI4" s="30" t="s">
        <v>54</v>
      </c>
      <c r="AJ4" s="30" t="s">
        <v>55</v>
      </c>
      <c r="AK4" s="30" t="s">
        <v>56</v>
      </c>
      <c r="AL4" s="30" t="s">
        <v>57</v>
      </c>
      <c r="AM4" s="30" t="s">
        <v>58</v>
      </c>
      <c r="AN4" s="30" t="s">
        <v>59</v>
      </c>
      <c r="AO4" s="30" t="s">
        <v>60</v>
      </c>
      <c r="AP4" s="30" t="s">
        <v>61</v>
      </c>
      <c r="AQ4" s="30" t="s">
        <v>62</v>
      </c>
      <c r="AR4" s="30" t="s">
        <v>79</v>
      </c>
      <c r="AS4" s="30" t="s">
        <v>63</v>
      </c>
      <c r="AT4" s="30" t="s">
        <v>64</v>
      </c>
      <c r="AU4" s="30" t="s">
        <v>65</v>
      </c>
      <c r="AV4" s="30" t="s">
        <v>66</v>
      </c>
      <c r="AW4" s="30" t="s">
        <v>81</v>
      </c>
      <c r="AX4" s="30" t="s">
        <v>80</v>
      </c>
      <c r="AY4" s="30" t="s">
        <v>82</v>
      </c>
      <c r="AZ4" s="30" t="s">
        <v>83</v>
      </c>
      <c r="BA4" s="30" t="s">
        <v>35</v>
      </c>
      <c r="BB4" s="30" t="s">
        <v>36</v>
      </c>
      <c r="BC4" s="30" t="s">
        <v>71</v>
      </c>
      <c r="BD4" s="30" t="s">
        <v>72</v>
      </c>
      <c r="BE4" s="30" t="s">
        <v>73</v>
      </c>
      <c r="BF4" s="30" t="s">
        <v>74</v>
      </c>
      <c r="BG4" s="30" t="s">
        <v>75</v>
      </c>
      <c r="BH4" s="30" t="s">
        <v>76</v>
      </c>
      <c r="BI4" s="30" t="s">
        <v>77</v>
      </c>
      <c r="BJ4" s="30" t="s">
        <v>78</v>
      </c>
      <c r="BK4" s="30" t="s">
        <v>96</v>
      </c>
      <c r="BL4" s="30" t="s">
        <v>97</v>
      </c>
      <c r="BM4" s="30" t="s">
        <v>98</v>
      </c>
      <c r="BN4" s="30" t="s">
        <v>99</v>
      </c>
      <c r="BO4" s="30" t="s">
        <v>100</v>
      </c>
      <c r="BP4" s="30" t="s">
        <v>101</v>
      </c>
      <c r="BQ4" s="30" t="s">
        <v>102</v>
      </c>
      <c r="BR4" s="30" t="s">
        <v>103</v>
      </c>
      <c r="BS4" s="30" t="s">
        <v>104</v>
      </c>
      <c r="BT4" s="30" t="s">
        <v>105</v>
      </c>
      <c r="BU4" s="30" t="s">
        <v>106</v>
      </c>
      <c r="BV4" s="30" t="s">
        <v>107</v>
      </c>
      <c r="BW4" s="30" t="s">
        <v>108</v>
      </c>
      <c r="BX4" s="30" t="s">
        <v>109</v>
      </c>
      <c r="BY4" s="30" t="s">
        <v>111</v>
      </c>
      <c r="BZ4" s="30" t="s">
        <v>112</v>
      </c>
      <c r="CA4" s="30" t="s">
        <v>113</v>
      </c>
      <c r="CB4" s="30" t="s">
        <v>114</v>
      </c>
      <c r="CC4" s="30" t="s">
        <v>115</v>
      </c>
      <c r="CD4" s="30" t="s">
        <v>116</v>
      </c>
      <c r="CE4" s="30" t="s">
        <v>117</v>
      </c>
      <c r="CF4" s="30" t="s">
        <v>118</v>
      </c>
      <c r="CG4" s="30" t="s">
        <v>120</v>
      </c>
      <c r="CH4" s="30" t="s">
        <v>121</v>
      </c>
      <c r="CI4" s="30" t="s">
        <v>122</v>
      </c>
      <c r="CJ4" s="30" t="s">
        <v>123</v>
      </c>
    </row>
    <row r="5" spans="1:88" s="6" customFormat="1" ht="30" customHeight="1" thickBot="1" x14ac:dyDescent="0.3">
      <c r="A5" s="4" t="s">
        <v>1</v>
      </c>
      <c r="B5" s="5">
        <v>38.805766211607676</v>
      </c>
      <c r="C5" s="5">
        <v>39.650427512118569</v>
      </c>
      <c r="D5" s="5">
        <v>39.554356066865523</v>
      </c>
      <c r="E5" s="5">
        <v>39.879890927217922</v>
      </c>
      <c r="F5" s="5">
        <v>40.555117695431228</v>
      </c>
      <c r="G5" s="5">
        <v>40.903411468624199</v>
      </c>
      <c r="H5" s="5">
        <v>40.133050571642833</v>
      </c>
      <c r="I5" s="5">
        <v>40.492602033403742</v>
      </c>
      <c r="J5" s="5">
        <v>41.508868568118345</v>
      </c>
      <c r="K5" s="5">
        <v>41.803782560175762</v>
      </c>
      <c r="L5" s="5">
        <v>41.188951458785859</v>
      </c>
      <c r="M5" s="5">
        <v>42.127609033950087</v>
      </c>
      <c r="N5" s="5">
        <v>41.998538497808688</v>
      </c>
      <c r="O5" s="5">
        <v>42.427988292706345</v>
      </c>
      <c r="P5" s="5">
        <v>42.061012796718686</v>
      </c>
      <c r="Q5" s="5">
        <v>42.525089663367019</v>
      </c>
      <c r="R5" s="95">
        <f>+(Q5+S5)/2</f>
        <v>42.360762897445042</v>
      </c>
      <c r="S5" s="5">
        <v>42.196436131523065</v>
      </c>
      <c r="T5" s="5">
        <v>42.019792659076408</v>
      </c>
      <c r="U5" s="5">
        <v>42.187285551963527</v>
      </c>
      <c r="V5" s="5">
        <v>42.005077014817452</v>
      </c>
      <c r="W5" s="5">
        <v>42.844964069597332</v>
      </c>
      <c r="X5" s="5">
        <v>42.626730767295513</v>
      </c>
      <c r="Y5" s="5">
        <v>42.271294132062806</v>
      </c>
      <c r="Z5" s="5">
        <v>41.876563325791174</v>
      </c>
      <c r="AA5" s="5">
        <v>42.395231393447702</v>
      </c>
      <c r="AB5" s="5">
        <v>42.198989628788055</v>
      </c>
      <c r="AC5" s="5">
        <v>42.451856997581814</v>
      </c>
      <c r="AD5" s="5">
        <v>42.471878179791837</v>
      </c>
      <c r="AE5" s="5">
        <v>42.409576425191489</v>
      </c>
      <c r="AF5" s="5">
        <v>42.323231197544608</v>
      </c>
      <c r="AG5" s="5">
        <v>43.2</v>
      </c>
      <c r="AH5" s="5">
        <v>43.358335826809459</v>
      </c>
      <c r="AI5" s="5">
        <v>42.972641613833048</v>
      </c>
      <c r="AJ5" s="5">
        <v>42.3</v>
      </c>
      <c r="AK5" s="5">
        <v>42.777364127844237</v>
      </c>
      <c r="AL5" s="5">
        <v>43.274178332463414</v>
      </c>
      <c r="AM5" s="5">
        <v>43.082402917449578</v>
      </c>
      <c r="AN5" s="5">
        <v>42.2</v>
      </c>
      <c r="AO5" s="5">
        <v>43.1</v>
      </c>
      <c r="AP5" s="5">
        <v>42.9</v>
      </c>
      <c r="AQ5" s="66">
        <v>42.7</v>
      </c>
      <c r="AR5" s="66">
        <v>41.825237454613223</v>
      </c>
      <c r="AS5" s="5">
        <v>41.404423090495946</v>
      </c>
      <c r="AT5" s="5">
        <v>41.345758998019846</v>
      </c>
      <c r="AU5" s="5">
        <v>42.10640021705305</v>
      </c>
      <c r="AV5" s="5">
        <v>41.447004111383642</v>
      </c>
      <c r="AW5" s="5">
        <v>41.533730140822925</v>
      </c>
      <c r="AX5" s="95">
        <f>+(AW5+BA5)/2</f>
        <v>41.636190194650467</v>
      </c>
      <c r="AY5" s="95">
        <f>+(AX5+BA5)/2</f>
        <v>41.687420221564238</v>
      </c>
      <c r="AZ5" s="95">
        <f>+(AY5+BA5)/2</f>
        <v>41.713035235021124</v>
      </c>
      <c r="BA5" s="37">
        <v>41.738650248478002</v>
      </c>
      <c r="BB5" s="5">
        <v>42.147636558818832</v>
      </c>
      <c r="BC5" s="5">
        <v>41.976935351288624</v>
      </c>
      <c r="BD5" s="5">
        <v>41.380567923198399</v>
      </c>
      <c r="BE5" s="5">
        <v>41.45614080596588</v>
      </c>
      <c r="BF5" s="5">
        <v>42.42922571803561</v>
      </c>
      <c r="BG5" s="5">
        <v>43.043972709339997</v>
      </c>
      <c r="BH5" s="5">
        <v>42.414803735251525</v>
      </c>
      <c r="BI5" s="5">
        <v>41.926483291495103</v>
      </c>
      <c r="BJ5" s="5">
        <v>42.461854447868433</v>
      </c>
      <c r="BK5" s="5">
        <v>42.248570715163659</v>
      </c>
      <c r="BL5" s="5">
        <v>42.275478562385956</v>
      </c>
      <c r="BM5" s="5">
        <v>42.616700232741103</v>
      </c>
      <c r="BN5" s="5">
        <v>42.636208602140087</v>
      </c>
      <c r="BO5" s="5">
        <v>42.994977856045367</v>
      </c>
      <c r="BP5" s="5">
        <v>42.208573822428377</v>
      </c>
      <c r="BQ5" s="5">
        <v>33.372327985636808</v>
      </c>
      <c r="BR5" s="5">
        <v>37.387450183270559</v>
      </c>
      <c r="BS5" s="5">
        <v>40.096672668128619</v>
      </c>
      <c r="BT5" s="5">
        <v>41.593812616859054</v>
      </c>
      <c r="BU5" s="5">
        <v>41.497983596051583</v>
      </c>
      <c r="BV5" s="5">
        <v>42.860145667033443</v>
      </c>
      <c r="BW5" s="5">
        <v>43.588987080354222</v>
      </c>
      <c r="BX5" s="5">
        <v>43.283747600669557</v>
      </c>
      <c r="BY5" s="5">
        <v>44.593370841383177</v>
      </c>
      <c r="BZ5" s="5">
        <v>44.247997093529918</v>
      </c>
      <c r="CA5" s="5">
        <v>44.623864011057854</v>
      </c>
      <c r="CB5" s="5">
        <v>44.967756263772941</v>
      </c>
      <c r="CC5" s="5">
        <v>44.58554556533209</v>
      </c>
      <c r="CD5" s="5">
        <v>45.46661788819705</v>
      </c>
      <c r="CE5" s="5">
        <v>45.779117269658137</v>
      </c>
      <c r="CF5" s="5">
        <v>44.313970087872171</v>
      </c>
      <c r="CG5" s="5">
        <v>44.839990717668414</v>
      </c>
      <c r="CH5" s="5">
        <v>44.979726713984739</v>
      </c>
      <c r="CI5" s="5">
        <v>45.650949938074923</v>
      </c>
      <c r="CJ5" s="5">
        <v>44.422320260897024</v>
      </c>
    </row>
    <row r="6" spans="1:88" ht="20.149999999999999" customHeight="1" thickBot="1" x14ac:dyDescent="0.3">
      <c r="A6" s="7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9"/>
      <c r="AA6" s="9"/>
      <c r="AB6" s="9"/>
      <c r="AC6" s="9"/>
      <c r="AD6" s="9"/>
      <c r="AE6" s="9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44"/>
      <c r="AY6" s="44"/>
      <c r="AZ6" s="44"/>
      <c r="BA6" s="38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</row>
    <row r="7" spans="1:88" ht="20.149999999999999" customHeight="1" x14ac:dyDescent="0.25">
      <c r="A7" s="12" t="s">
        <v>3</v>
      </c>
      <c r="B7" s="61">
        <v>46.071976400320011</v>
      </c>
      <c r="C7" s="61">
        <v>48.247319563058369</v>
      </c>
      <c r="D7" s="61">
        <v>48.161648973061702</v>
      </c>
      <c r="E7" s="61">
        <v>47.833861040722489</v>
      </c>
      <c r="F7" s="61">
        <v>49.130124958046714</v>
      </c>
      <c r="G7" s="61">
        <v>49.485785912537608</v>
      </c>
      <c r="H7" s="61">
        <v>48.885303258848893</v>
      </c>
      <c r="I7" s="61">
        <v>49.150322924902525</v>
      </c>
      <c r="J7" s="61">
        <v>50.560901147057059</v>
      </c>
      <c r="K7" s="61">
        <v>50.391421702679729</v>
      </c>
      <c r="L7" s="13">
        <v>49.844842191769779</v>
      </c>
      <c r="M7" s="13">
        <v>50.884632829147705</v>
      </c>
      <c r="N7" s="13">
        <v>50.835598643198765</v>
      </c>
      <c r="O7" s="13">
        <v>51.283256510750789</v>
      </c>
      <c r="P7" s="13">
        <v>51.296843928964073</v>
      </c>
      <c r="Q7" s="13">
        <v>51.683549729180555</v>
      </c>
      <c r="R7" s="95">
        <f t="shared" ref="R7:R32" si="0">+(Q7+S7)/2</f>
        <v>51.701565908114048</v>
      </c>
      <c r="S7" s="13">
        <v>51.719582087047542</v>
      </c>
      <c r="T7" s="13">
        <v>51.093521183529013</v>
      </c>
      <c r="U7" s="13">
        <v>51.264191438015253</v>
      </c>
      <c r="V7" s="13">
        <v>51.462274440883768</v>
      </c>
      <c r="W7" s="13">
        <v>51.903701921712617</v>
      </c>
      <c r="X7" s="13">
        <v>51.288732633053257</v>
      </c>
      <c r="Y7" s="13">
        <v>50.789398305941781</v>
      </c>
      <c r="Z7" s="13">
        <v>50.41192363554913</v>
      </c>
      <c r="AA7" s="13">
        <v>51.02937059261707</v>
      </c>
      <c r="AB7" s="13">
        <v>51.321907355400477</v>
      </c>
      <c r="AC7" s="13">
        <v>51.547531931180977</v>
      </c>
      <c r="AD7" s="13">
        <v>51.416655452476064</v>
      </c>
      <c r="AE7" s="13">
        <v>52.000981255598312</v>
      </c>
      <c r="AF7" s="13">
        <v>51.57516952174818</v>
      </c>
      <c r="AG7" s="13">
        <v>52.011817170100294</v>
      </c>
      <c r="AH7" s="13">
        <v>52.286359111165048</v>
      </c>
      <c r="AI7" s="13">
        <v>52.268839830347538</v>
      </c>
      <c r="AJ7" s="13">
        <v>50.76235009109967</v>
      </c>
      <c r="AK7" s="13">
        <v>51.009394074950578</v>
      </c>
      <c r="AL7" s="13">
        <v>52.466045287048836</v>
      </c>
      <c r="AM7" s="13">
        <v>52.487521249663629</v>
      </c>
      <c r="AN7" s="13">
        <v>51.1</v>
      </c>
      <c r="AO7" s="13">
        <v>51.8</v>
      </c>
      <c r="AP7" s="13">
        <v>52.002630070205903</v>
      </c>
      <c r="AQ7" s="13">
        <v>51.348115156927975</v>
      </c>
      <c r="AR7" s="13">
        <v>50.673145707375909</v>
      </c>
      <c r="AS7" s="13">
        <v>50.111366529531331</v>
      </c>
      <c r="AT7" s="13">
        <v>49.788599088584583</v>
      </c>
      <c r="AU7" s="13">
        <v>50.16597731924459</v>
      </c>
      <c r="AV7" s="13">
        <v>49.970231235778826</v>
      </c>
      <c r="AW7" s="13">
        <v>50.35722951223741</v>
      </c>
      <c r="AX7" s="95">
        <f t="shared" ref="AX7:AX8" si="1">+(AW7+BA7)/2</f>
        <v>50.194214516788698</v>
      </c>
      <c r="AY7" s="95">
        <f t="shared" ref="AY7:AY8" si="2">+(AX7+BA7)/2</f>
        <v>50.112707019064345</v>
      </c>
      <c r="AZ7" s="95">
        <f t="shared" ref="AZ7:AZ8" si="3">+(AY7+BA7)/2</f>
        <v>50.071953270202165</v>
      </c>
      <c r="BA7" s="39">
        <v>50.031199521339985</v>
      </c>
      <c r="BB7" s="13">
        <v>50.170724385652107</v>
      </c>
      <c r="BC7" s="13">
        <v>50.231191072801792</v>
      </c>
      <c r="BD7" s="13">
        <v>49.827402019568751</v>
      </c>
      <c r="BE7" s="13">
        <v>49.376650628679677</v>
      </c>
      <c r="BF7" s="13">
        <v>50.629159927524746</v>
      </c>
      <c r="BG7" s="13">
        <v>51.397009331191931</v>
      </c>
      <c r="BH7" s="13">
        <v>50.103115179640653</v>
      </c>
      <c r="BI7" s="13">
        <v>49.43035317425538</v>
      </c>
      <c r="BJ7" s="13">
        <v>50.011799462609559</v>
      </c>
      <c r="BK7" s="61">
        <v>49.852168141729237</v>
      </c>
      <c r="BL7" s="13">
        <v>49.724073462878046</v>
      </c>
      <c r="BM7" s="13">
        <v>49.600232663314962</v>
      </c>
      <c r="BN7" s="13">
        <v>50.216405672208111</v>
      </c>
      <c r="BO7" s="13">
        <v>50.07186163136528</v>
      </c>
      <c r="BP7" s="13">
        <v>49.02042019993425</v>
      </c>
      <c r="BQ7" s="13">
        <v>38.709244992428886</v>
      </c>
      <c r="BR7" s="13">
        <v>43.584205261224156</v>
      </c>
      <c r="BS7" s="13">
        <v>46.168764944452406</v>
      </c>
      <c r="BT7" s="13">
        <v>49.435334531222161</v>
      </c>
      <c r="BU7" s="13">
        <v>48.897501641009463</v>
      </c>
      <c r="BV7" s="13">
        <v>49.45579512761995</v>
      </c>
      <c r="BW7" s="13">
        <v>50.515204561669769</v>
      </c>
      <c r="BX7" s="13">
        <v>50.136069141962501</v>
      </c>
      <c r="BY7" s="13">
        <v>51.347099184055999</v>
      </c>
      <c r="BZ7" s="13">
        <v>51.241044614712294</v>
      </c>
      <c r="CA7" s="13">
        <v>51.532108767922516</v>
      </c>
      <c r="CB7" s="13">
        <v>51.746880549182215</v>
      </c>
      <c r="CC7" s="13">
        <v>51.180501451981321</v>
      </c>
      <c r="CD7" s="13">
        <v>52.032067077337132</v>
      </c>
      <c r="CE7" s="13">
        <v>52.350032450968911</v>
      </c>
      <c r="CF7" s="13">
        <v>50.462865273825216</v>
      </c>
      <c r="CG7" s="13">
        <v>51.139941952639624</v>
      </c>
      <c r="CH7" s="13">
        <v>51.673478649962092</v>
      </c>
      <c r="CI7" s="13">
        <v>51.877153083541735</v>
      </c>
      <c r="CJ7" s="13">
        <v>51.287241885546585</v>
      </c>
    </row>
    <row r="8" spans="1:88" ht="20.149999999999999" customHeight="1" x14ac:dyDescent="0.25">
      <c r="A8" s="12" t="s">
        <v>4</v>
      </c>
      <c r="B8" s="61">
        <v>32.115897369659287</v>
      </c>
      <c r="C8" s="61">
        <v>31.739784767980662</v>
      </c>
      <c r="D8" s="61">
        <v>31.631996302228128</v>
      </c>
      <c r="E8" s="61">
        <v>32.559070011541934</v>
      </c>
      <c r="F8" s="61">
        <v>32.661031599131647</v>
      </c>
      <c r="G8" s="61">
        <v>32.995370202576339</v>
      </c>
      <c r="H8" s="61">
        <v>32.070581802316354</v>
      </c>
      <c r="I8" s="61">
        <v>32.514895574900699</v>
      </c>
      <c r="J8" s="61">
        <v>33.167669358850155</v>
      </c>
      <c r="K8" s="61">
        <v>33.903118096753218</v>
      </c>
      <c r="L8" s="13">
        <v>33.212226371784922</v>
      </c>
      <c r="M8" s="13">
        <v>34.060722395340093</v>
      </c>
      <c r="N8" s="13">
        <v>33.852623367217177</v>
      </c>
      <c r="O8" s="13">
        <v>34.263334343034529</v>
      </c>
      <c r="P8" s="13">
        <v>33.549885031847595</v>
      </c>
      <c r="Q8" s="13">
        <v>34.078754609393485</v>
      </c>
      <c r="R8" s="95">
        <f t="shared" si="0"/>
        <v>33.743565222100329</v>
      </c>
      <c r="S8" s="13">
        <v>33.408375834807167</v>
      </c>
      <c r="T8" s="13">
        <v>33.655795151062897</v>
      </c>
      <c r="U8" s="13">
        <v>33.820653699492517</v>
      </c>
      <c r="V8" s="13">
        <v>33.289040856683044</v>
      </c>
      <c r="W8" s="13">
        <v>34.487165334941025</v>
      </c>
      <c r="X8" s="13">
        <v>34.643072954419004</v>
      </c>
      <c r="Y8" s="13">
        <v>34.421292126220578</v>
      </c>
      <c r="Z8" s="13">
        <v>34.004464639596534</v>
      </c>
      <c r="AA8" s="13">
        <v>34.431799202184479</v>
      </c>
      <c r="AB8" s="13">
        <v>33.784590326484988</v>
      </c>
      <c r="AC8" s="13">
        <v>34.060070663719408</v>
      </c>
      <c r="AD8" s="13">
        <v>34.221242850630667</v>
      </c>
      <c r="AE8" s="13">
        <v>33.562213657468433</v>
      </c>
      <c r="AF8" s="13">
        <v>33.564055303910934</v>
      </c>
      <c r="AG8" s="13">
        <v>34.799162421650912</v>
      </c>
      <c r="AH8" s="13">
        <v>34.963430841040797</v>
      </c>
      <c r="AI8" s="13">
        <v>34.237163443587178</v>
      </c>
      <c r="AJ8" s="13">
        <v>34.182369560166073</v>
      </c>
      <c r="AK8" s="13">
        <v>35.043537956533505</v>
      </c>
      <c r="AL8" s="13">
        <v>34.637576560151913</v>
      </c>
      <c r="AM8" s="13">
        <v>34.245212004089531</v>
      </c>
      <c r="AN8" s="13">
        <v>33.799999999999997</v>
      </c>
      <c r="AO8" s="13">
        <v>34.700000000000003</v>
      </c>
      <c r="AP8" s="13">
        <v>34.298387526620168</v>
      </c>
      <c r="AQ8" s="13">
        <v>34.636177807177283</v>
      </c>
      <c r="AR8" s="13">
        <v>33.531716022923966</v>
      </c>
      <c r="AS8" s="13">
        <v>33.237793091951531</v>
      </c>
      <c r="AT8" s="13">
        <v>33.419100813475879</v>
      </c>
      <c r="AU8" s="13">
        <v>34.538191394047466</v>
      </c>
      <c r="AV8" s="13">
        <v>33.449214063898175</v>
      </c>
      <c r="AW8" s="13">
        <v>33.236327853772032</v>
      </c>
      <c r="AX8" s="95">
        <f t="shared" si="1"/>
        <v>33.630053573309226</v>
      </c>
      <c r="AY8" s="95">
        <f t="shared" si="2"/>
        <v>33.826916433077827</v>
      </c>
      <c r="AZ8" s="95">
        <f t="shared" si="3"/>
        <v>33.925347862962127</v>
      </c>
      <c r="BA8" s="39">
        <v>34.02377929284642</v>
      </c>
      <c r="BB8" s="13">
        <v>34.812698396630452</v>
      </c>
      <c r="BC8" s="13">
        <v>34.381807822973741</v>
      </c>
      <c r="BD8" s="13">
        <v>33.551218299493556</v>
      </c>
      <c r="BE8" s="13">
        <v>34.169917759737785</v>
      </c>
      <c r="BF8" s="13">
        <v>34.886367270084264</v>
      </c>
      <c r="BG8" s="13">
        <v>35.334110185387935</v>
      </c>
      <c r="BH8" s="13">
        <v>35.282162795044805</v>
      </c>
      <c r="BI8" s="13">
        <v>35.047472542916012</v>
      </c>
      <c r="BJ8" s="13">
        <v>35.504323112649388</v>
      </c>
      <c r="BK8" s="61">
        <v>35.320136257241998</v>
      </c>
      <c r="BL8" s="13">
        <v>35.308027579655089</v>
      </c>
      <c r="BM8" s="13">
        <v>36.12582275398141</v>
      </c>
      <c r="BN8" s="13">
        <v>35.545070234463402</v>
      </c>
      <c r="BO8" s="13">
        <v>36.434756233886425</v>
      </c>
      <c r="BP8" s="13">
        <v>35.910212380044868</v>
      </c>
      <c r="BQ8" s="13">
        <v>28.329220047757492</v>
      </c>
      <c r="BR8" s="13">
        <v>31.521878297508138</v>
      </c>
      <c r="BS8" s="13">
        <v>34.303222423883462</v>
      </c>
      <c r="BT8" s="13">
        <v>34.174378323170139</v>
      </c>
      <c r="BU8" s="13">
        <v>34.495137599043915</v>
      </c>
      <c r="BV8" s="13">
        <v>36.616636545544509</v>
      </c>
      <c r="BW8" s="13">
        <v>37.03101088356577</v>
      </c>
      <c r="BX8" s="13">
        <v>36.794207023565363</v>
      </c>
      <c r="BY8" s="13">
        <v>38.195847144995717</v>
      </c>
      <c r="BZ8" s="13">
        <v>37.622267232045047</v>
      </c>
      <c r="CA8" s="13">
        <v>38.077075256361439</v>
      </c>
      <c r="CB8" s="13">
        <v>38.541893122467876</v>
      </c>
      <c r="CC8" s="13">
        <v>38.332972636567042</v>
      </c>
      <c r="CD8" s="13">
        <v>39.240640671618102</v>
      </c>
      <c r="CE8" s="13">
        <v>39.546674125779624</v>
      </c>
      <c r="CF8" s="13">
        <v>38.480578503634945</v>
      </c>
      <c r="CG8" s="13">
        <v>38.862074753017978</v>
      </c>
      <c r="CH8" s="13">
        <v>38.626863349882449</v>
      </c>
      <c r="CI8" s="13">
        <v>39.740624207469224</v>
      </c>
      <c r="CJ8" s="13">
        <v>37.904413001357561</v>
      </c>
    </row>
    <row r="9" spans="1:88" ht="20.149999999999999" customHeight="1" thickBot="1" x14ac:dyDescent="0.3">
      <c r="A9" s="14" t="s">
        <v>33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6"/>
      <c r="Y9" s="16"/>
      <c r="Z9" s="16"/>
      <c r="AA9" s="16"/>
      <c r="AB9" s="16"/>
      <c r="AC9" s="16"/>
      <c r="AD9" s="16"/>
      <c r="AE9" s="16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45"/>
      <c r="AY9" s="45"/>
      <c r="AZ9" s="45"/>
      <c r="BA9" s="40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</row>
    <row r="10" spans="1:88" ht="20.149999999999999" customHeight="1" x14ac:dyDescent="0.25">
      <c r="A10" s="82" t="s">
        <v>110</v>
      </c>
      <c r="B10" s="61">
        <v>42.138835997339214</v>
      </c>
      <c r="C10" s="61">
        <v>43.586831354700742</v>
      </c>
      <c r="D10" s="61">
        <v>43.138793864159716</v>
      </c>
      <c r="E10" s="61">
        <v>43.245961517615925</v>
      </c>
      <c r="F10" s="61">
        <v>43.238274259289838</v>
      </c>
      <c r="G10" s="61">
        <v>44.801136122048078</v>
      </c>
      <c r="H10" s="61">
        <v>42.238851210285446</v>
      </c>
      <c r="I10" s="61">
        <v>44.30343594901283</v>
      </c>
      <c r="J10" s="61">
        <v>45.63435544818612</v>
      </c>
      <c r="K10" s="61">
        <v>45.537385638643933</v>
      </c>
      <c r="L10" s="13">
        <v>45.587708906823934</v>
      </c>
      <c r="M10" s="13">
        <v>46.284952009064661</v>
      </c>
      <c r="N10" s="13">
        <v>45.604140596402516</v>
      </c>
      <c r="O10" s="13">
        <v>46.485396713024251</v>
      </c>
      <c r="P10" s="13">
        <v>45.715910701752563</v>
      </c>
      <c r="Q10" s="13">
        <v>46.136054350281889</v>
      </c>
      <c r="R10" s="95">
        <f t="shared" si="0"/>
        <v>47.110840147102387</v>
      </c>
      <c r="S10" s="13">
        <v>48.085625943922885</v>
      </c>
      <c r="T10" s="13">
        <v>44.907298695646048</v>
      </c>
      <c r="U10" s="13">
        <v>45.545638102495609</v>
      </c>
      <c r="V10" s="13">
        <v>45.865215728894007</v>
      </c>
      <c r="W10" s="13">
        <v>45.865215728894007</v>
      </c>
      <c r="X10" s="13">
        <v>45.137731041708257</v>
      </c>
      <c r="Y10" s="13">
        <v>45.536870054726371</v>
      </c>
      <c r="Z10" s="13">
        <v>43.849832311219053</v>
      </c>
      <c r="AA10" s="13">
        <v>43.872385482963516</v>
      </c>
      <c r="AB10" s="13">
        <v>44.33292663093129</v>
      </c>
      <c r="AC10" s="13">
        <v>44.721091296768066</v>
      </c>
      <c r="AD10" s="13">
        <v>42.975451546713586</v>
      </c>
      <c r="AE10" s="13">
        <v>44.904979433345673</v>
      </c>
      <c r="AF10" s="13">
        <v>44.275888872037093</v>
      </c>
      <c r="AG10" s="13">
        <v>46.155422943781772</v>
      </c>
      <c r="AH10" s="13">
        <v>43.816181345114124</v>
      </c>
      <c r="AI10" s="13">
        <v>43.707432368070108</v>
      </c>
      <c r="AJ10" s="13">
        <v>42.666889652207885</v>
      </c>
      <c r="AK10" s="13">
        <v>44.709515874677827</v>
      </c>
      <c r="AL10" s="13">
        <v>45.033052005476414</v>
      </c>
      <c r="AM10" s="13">
        <v>43.945215069071168</v>
      </c>
      <c r="AN10" s="13">
        <v>43.520724481234531</v>
      </c>
      <c r="AO10" s="13">
        <v>44.753949040949543</v>
      </c>
      <c r="AP10" s="13">
        <v>43.048802680698252</v>
      </c>
      <c r="AQ10" s="13">
        <v>43.584652076075798</v>
      </c>
      <c r="AR10" s="13">
        <v>42.275749950250393</v>
      </c>
      <c r="AS10" s="13">
        <v>41.928663963172021</v>
      </c>
      <c r="AT10" s="13">
        <v>40.702145055020829</v>
      </c>
      <c r="AU10" s="13">
        <v>43.391610944156426</v>
      </c>
      <c r="AV10" s="13">
        <v>40.923961249690301</v>
      </c>
      <c r="AW10" s="13">
        <v>39.719651165683864</v>
      </c>
      <c r="AX10" s="95">
        <f t="shared" ref="AX10:AX14" si="4">+(AW10+BA10)/2</f>
        <v>39.385679828661452</v>
      </c>
      <c r="AY10" s="95">
        <f t="shared" ref="AY10:AY14" si="5">+(AX10+BA10)/2</f>
        <v>39.218694160150243</v>
      </c>
      <c r="AZ10" s="95">
        <f t="shared" ref="AZ10:AZ14" si="6">+(AY10+BA10)/2</f>
        <v>39.135201325894641</v>
      </c>
      <c r="BA10" s="39">
        <v>39.051708491639033</v>
      </c>
      <c r="BB10" s="13">
        <v>39.85942384551462</v>
      </c>
      <c r="BC10" s="13">
        <v>39.119042471431939</v>
      </c>
      <c r="BD10" s="13">
        <v>38.80009027056699</v>
      </c>
      <c r="BE10" s="13">
        <v>39.894687576610778</v>
      </c>
      <c r="BF10" s="13">
        <v>41.462811386760784</v>
      </c>
      <c r="BG10" s="13">
        <v>42.35871992805216</v>
      </c>
      <c r="BH10" s="13">
        <v>40.540400823941027</v>
      </c>
      <c r="BI10" s="13">
        <v>39.484761883239081</v>
      </c>
      <c r="BJ10" s="13">
        <v>40.440911964935758</v>
      </c>
      <c r="BK10" s="61">
        <v>41.061832757343034</v>
      </c>
      <c r="BL10" s="13">
        <v>38.672573505701642</v>
      </c>
      <c r="BM10" s="13">
        <v>42.666889652207885</v>
      </c>
      <c r="BN10" s="13">
        <v>38.878927132765654</v>
      </c>
      <c r="BO10" s="13">
        <v>39.372502090381175</v>
      </c>
      <c r="BP10" s="13">
        <v>37.848836301671724</v>
      </c>
      <c r="BQ10" s="13">
        <v>24.365804373771869</v>
      </c>
      <c r="BR10" s="13">
        <v>30.457680890695837</v>
      </c>
      <c r="BS10" s="13">
        <v>34.21580653052812</v>
      </c>
      <c r="BT10" s="13">
        <v>39.495500113359682</v>
      </c>
      <c r="BU10" s="13">
        <v>39.000248557161719</v>
      </c>
      <c r="BV10" s="13">
        <v>39.150142228717215</v>
      </c>
      <c r="BW10" s="13">
        <v>40.675007483993056</v>
      </c>
      <c r="BX10" s="13">
        <v>40.398255988780491</v>
      </c>
      <c r="BY10" s="13">
        <v>42.538538778050992</v>
      </c>
      <c r="BZ10" s="13">
        <v>42.118097974598989</v>
      </c>
      <c r="CA10" s="13">
        <v>41.883308265824795</v>
      </c>
      <c r="CB10" s="13">
        <v>43.664210832079007</v>
      </c>
      <c r="CC10" s="13">
        <v>43.485875643665686</v>
      </c>
      <c r="CD10" s="13">
        <v>43.885370901486034</v>
      </c>
      <c r="CE10" s="13">
        <v>43.438648197692373</v>
      </c>
      <c r="CF10" s="13">
        <v>41.992776829354419</v>
      </c>
      <c r="CG10" s="13">
        <v>42.787236356535693</v>
      </c>
      <c r="CH10" s="13">
        <v>42.470840339070875</v>
      </c>
      <c r="CI10" s="13">
        <v>43.75518334374086</v>
      </c>
      <c r="CJ10" s="13">
        <v>42.183651508755361</v>
      </c>
    </row>
    <row r="11" spans="1:88" ht="20.149999999999999" customHeight="1" x14ac:dyDescent="0.25">
      <c r="A11" s="12" t="s">
        <v>5</v>
      </c>
      <c r="B11" s="61">
        <v>69.797151385760117</v>
      </c>
      <c r="C11" s="61">
        <v>71.363773236140304</v>
      </c>
      <c r="D11" s="61">
        <v>70.422176773937551</v>
      </c>
      <c r="E11" s="61">
        <v>70.188201266929866</v>
      </c>
      <c r="F11" s="61">
        <v>71.993081647450609</v>
      </c>
      <c r="G11" s="61">
        <v>72.903103309454394</v>
      </c>
      <c r="H11" s="61">
        <v>71.882620299767581</v>
      </c>
      <c r="I11" s="61">
        <v>71.574577153844402</v>
      </c>
      <c r="J11" s="61">
        <v>71.618816340918883</v>
      </c>
      <c r="K11" s="61">
        <v>73.7509015774895</v>
      </c>
      <c r="L11" s="13">
        <v>72.124691837671733</v>
      </c>
      <c r="M11" s="13">
        <v>72.812587143166638</v>
      </c>
      <c r="N11" s="13">
        <v>73.448225685354501</v>
      </c>
      <c r="O11" s="13">
        <v>74.707682419063403</v>
      </c>
      <c r="P11" s="13">
        <v>72.373476599613127</v>
      </c>
      <c r="Q11" s="13">
        <v>73.151015814899452</v>
      </c>
      <c r="R11" s="95">
        <f t="shared" si="0"/>
        <v>73.518911600591181</v>
      </c>
      <c r="S11" s="13">
        <v>73.886807386282911</v>
      </c>
      <c r="T11" s="13">
        <v>73.538650495782534</v>
      </c>
      <c r="U11" s="13">
        <v>73.40588232782909</v>
      </c>
      <c r="V11" s="13">
        <v>74.035445346560181</v>
      </c>
      <c r="W11" s="13">
        <v>74.598942515340923</v>
      </c>
      <c r="X11" s="13">
        <v>73.275641370236471</v>
      </c>
      <c r="Y11" s="13">
        <v>72.770910221008293</v>
      </c>
      <c r="Z11" s="13">
        <v>73.499370589397316</v>
      </c>
      <c r="AA11" s="13">
        <v>73.736083418323929</v>
      </c>
      <c r="AB11" s="13">
        <v>73.976561365068221</v>
      </c>
      <c r="AC11" s="13">
        <v>74.406919492008882</v>
      </c>
      <c r="AD11" s="13">
        <v>75.382085971504537</v>
      </c>
      <c r="AE11" s="13">
        <v>74.299370653986045</v>
      </c>
      <c r="AF11" s="13">
        <v>72.988271275755835</v>
      </c>
      <c r="AG11" s="13">
        <v>74.782514381948033</v>
      </c>
      <c r="AH11" s="13">
        <v>74.664352135328642</v>
      </c>
      <c r="AI11" s="13">
        <v>74.494864283451662</v>
      </c>
      <c r="AJ11" s="13">
        <v>73.616052758774785</v>
      </c>
      <c r="AK11" s="13">
        <v>73.012623812595095</v>
      </c>
      <c r="AL11" s="13">
        <v>74.757765882416678</v>
      </c>
      <c r="AM11" s="13">
        <v>74.659361969205094</v>
      </c>
      <c r="AN11" s="13">
        <v>71.900000000000006</v>
      </c>
      <c r="AO11" s="13">
        <v>73.7</v>
      </c>
      <c r="AP11" s="13">
        <v>74.556619670097362</v>
      </c>
      <c r="AQ11" s="13">
        <v>75.095140433183232</v>
      </c>
      <c r="AR11" s="13">
        <v>72.437502429476581</v>
      </c>
      <c r="AS11" s="13">
        <v>71.774127117046589</v>
      </c>
      <c r="AT11" s="13">
        <v>72.370218892892382</v>
      </c>
      <c r="AU11" s="13">
        <v>74.142087894032926</v>
      </c>
      <c r="AV11" s="13">
        <v>72.728048245636046</v>
      </c>
      <c r="AW11" s="13">
        <v>72.464665422442181</v>
      </c>
      <c r="AX11" s="95">
        <f t="shared" si="4"/>
        <v>72.150335439053407</v>
      </c>
      <c r="AY11" s="95">
        <f t="shared" si="5"/>
        <v>71.99317044735902</v>
      </c>
      <c r="AZ11" s="95">
        <f t="shared" si="6"/>
        <v>71.914587951511834</v>
      </c>
      <c r="BA11" s="39">
        <v>71.836005455664633</v>
      </c>
      <c r="BB11" s="13">
        <v>72.296991623480338</v>
      </c>
      <c r="BC11" s="13">
        <v>71.988200248263411</v>
      </c>
      <c r="BD11" s="13">
        <v>71.211985468185262</v>
      </c>
      <c r="BE11" s="13">
        <v>72.282454554938425</v>
      </c>
      <c r="BF11" s="13">
        <v>73.389560639788428</v>
      </c>
      <c r="BG11" s="13">
        <v>74.182660634959277</v>
      </c>
      <c r="BH11" s="13">
        <v>72.707079508671484</v>
      </c>
      <c r="BI11" s="13">
        <v>72.038521314616958</v>
      </c>
      <c r="BJ11" s="13">
        <v>72.995426601385432</v>
      </c>
      <c r="BK11" s="61">
        <v>71.250081956253169</v>
      </c>
      <c r="BL11" s="13">
        <v>71.905914896380125</v>
      </c>
      <c r="BM11" s="13">
        <v>71.851352209515667</v>
      </c>
      <c r="BN11" s="13">
        <v>71.149810052855941</v>
      </c>
      <c r="BO11" s="13">
        <v>72.344593760174234</v>
      </c>
      <c r="BP11" s="13">
        <v>71.253336478827023</v>
      </c>
      <c r="BQ11" s="13">
        <v>58.415113923667064</v>
      </c>
      <c r="BR11" s="13">
        <v>62.734698948966852</v>
      </c>
      <c r="BS11" s="13">
        <v>67.279015533293006</v>
      </c>
      <c r="BT11" s="13">
        <v>70.259142581168632</v>
      </c>
      <c r="BU11" s="13">
        <v>69.18042585392871</v>
      </c>
      <c r="BV11" s="13">
        <v>70.200498205038969</v>
      </c>
      <c r="BW11" s="13">
        <v>73.876915743402321</v>
      </c>
      <c r="BX11" s="13">
        <v>73.812943178661058</v>
      </c>
      <c r="BY11" s="13">
        <v>75.080526602685865</v>
      </c>
      <c r="BZ11" s="13">
        <v>74.725308988865891</v>
      </c>
      <c r="CA11" s="13">
        <v>75.584602296834419</v>
      </c>
      <c r="CB11" s="13">
        <v>76.096238830429712</v>
      </c>
      <c r="CC11" s="13">
        <v>75.379410741118917</v>
      </c>
      <c r="CD11" s="13">
        <v>76.324216885955963</v>
      </c>
      <c r="CE11" s="13">
        <v>78.785463960232974</v>
      </c>
      <c r="CF11" s="13">
        <v>74.823971591099792</v>
      </c>
      <c r="CG11" s="13">
        <v>73.535543615758669</v>
      </c>
      <c r="CH11" s="13">
        <v>75.433001233549348</v>
      </c>
      <c r="CI11" s="13">
        <v>76.10803660805324</v>
      </c>
      <c r="CJ11" s="13">
        <v>73.523719671177332</v>
      </c>
    </row>
    <row r="12" spans="1:88" ht="20.149999999999999" customHeight="1" x14ac:dyDescent="0.25">
      <c r="A12" s="12" t="s">
        <v>6</v>
      </c>
      <c r="B12" s="61">
        <v>74.333791334572169</v>
      </c>
      <c r="C12" s="61">
        <v>74.608876491371177</v>
      </c>
      <c r="D12" s="61">
        <v>75.223473649091716</v>
      </c>
      <c r="E12" s="61">
        <v>74.453774805606272</v>
      </c>
      <c r="F12" s="61">
        <v>75.840464133222781</v>
      </c>
      <c r="G12" s="61">
        <v>76.564095598124098</v>
      </c>
      <c r="H12" s="61">
        <v>75.468946027151901</v>
      </c>
      <c r="I12" s="61">
        <v>75.49768535914508</v>
      </c>
      <c r="J12" s="61">
        <v>77.247620097246269</v>
      </c>
      <c r="K12" s="61">
        <v>78.082031993565209</v>
      </c>
      <c r="L12" s="13">
        <v>76.568139950413453</v>
      </c>
      <c r="M12" s="13">
        <v>77.061632727680177</v>
      </c>
      <c r="N12" s="13">
        <v>77.713556726452808</v>
      </c>
      <c r="O12" s="13">
        <v>77.156038235550753</v>
      </c>
      <c r="P12" s="13">
        <v>77.470163623079586</v>
      </c>
      <c r="Q12" s="13">
        <v>78.697335943676478</v>
      </c>
      <c r="R12" s="95">
        <f t="shared" si="0"/>
        <v>77.664604146862459</v>
      </c>
      <c r="S12" s="13">
        <v>76.63187235004844</v>
      </c>
      <c r="T12" s="13">
        <v>77.843949768583329</v>
      </c>
      <c r="U12" s="13">
        <v>77.107423205605116</v>
      </c>
      <c r="V12" s="13">
        <v>77.015092307869111</v>
      </c>
      <c r="W12" s="13">
        <v>78.349570395977992</v>
      </c>
      <c r="X12" s="13">
        <v>78.020141789880569</v>
      </c>
      <c r="Y12" s="13">
        <v>77.672382040054828</v>
      </c>
      <c r="Z12" s="13">
        <v>77.382099522650194</v>
      </c>
      <c r="AA12" s="13">
        <v>77.605433494235939</v>
      </c>
      <c r="AB12" s="13">
        <v>77.013154349938588</v>
      </c>
      <c r="AC12" s="13">
        <v>77.338200361224509</v>
      </c>
      <c r="AD12" s="13">
        <v>77.263189409978409</v>
      </c>
      <c r="AE12" s="13">
        <v>78.003580412660085</v>
      </c>
      <c r="AF12" s="13">
        <v>77.882653299711976</v>
      </c>
      <c r="AG12" s="13">
        <v>77.939555589435727</v>
      </c>
      <c r="AH12" s="13">
        <v>79.826903845596533</v>
      </c>
      <c r="AI12" s="13">
        <v>79.505717222389265</v>
      </c>
      <c r="AJ12" s="13">
        <v>78.407704653563613</v>
      </c>
      <c r="AK12" s="13">
        <v>78.463939259926548</v>
      </c>
      <c r="AL12" s="13">
        <v>78.198547659572199</v>
      </c>
      <c r="AM12" s="13">
        <v>78.429974877252079</v>
      </c>
      <c r="AN12" s="13">
        <v>77.599999999999994</v>
      </c>
      <c r="AO12" s="13">
        <v>78.900000000000006</v>
      </c>
      <c r="AP12" s="13">
        <v>78.824381382902658</v>
      </c>
      <c r="AQ12" s="13">
        <v>78.699482095537675</v>
      </c>
      <c r="AR12" s="13">
        <v>78.760507555199482</v>
      </c>
      <c r="AS12" s="13">
        <v>77.618406802751821</v>
      </c>
      <c r="AT12" s="13">
        <v>77.831635985417705</v>
      </c>
      <c r="AU12" s="13">
        <v>77.552451306805395</v>
      </c>
      <c r="AV12" s="13">
        <v>77.15334446456427</v>
      </c>
      <c r="AW12" s="13">
        <v>78.572300685064221</v>
      </c>
      <c r="AX12" s="95">
        <f t="shared" si="4"/>
        <v>78.672478111143391</v>
      </c>
      <c r="AY12" s="95">
        <f t="shared" si="5"/>
        <v>78.722566824182962</v>
      </c>
      <c r="AZ12" s="95">
        <f t="shared" si="6"/>
        <v>78.747611180702762</v>
      </c>
      <c r="BA12" s="39">
        <v>78.772655537222548</v>
      </c>
      <c r="BB12" s="13">
        <v>78.518379723348801</v>
      </c>
      <c r="BC12" s="13">
        <v>79.515469933539535</v>
      </c>
      <c r="BD12" s="13">
        <v>77.411415596862724</v>
      </c>
      <c r="BE12" s="13">
        <v>77.479067089737839</v>
      </c>
      <c r="BF12" s="13">
        <v>79.118286513419335</v>
      </c>
      <c r="BG12" s="13">
        <v>79.167976857401797</v>
      </c>
      <c r="BH12" s="13">
        <v>78.9255338618172</v>
      </c>
      <c r="BI12" s="13">
        <v>78.978157759263752</v>
      </c>
      <c r="BJ12" s="13">
        <v>79.387825766397782</v>
      </c>
      <c r="BK12" s="61">
        <v>78.734711811229047</v>
      </c>
      <c r="BL12" s="13">
        <v>78.126078223608602</v>
      </c>
      <c r="BM12" s="13">
        <v>78.530685269839736</v>
      </c>
      <c r="BN12" s="13">
        <v>79.250489636911496</v>
      </c>
      <c r="BO12" s="13">
        <v>79.284671994344222</v>
      </c>
      <c r="BP12" s="13">
        <v>78.513011017883031</v>
      </c>
      <c r="BQ12" s="13">
        <v>66.368648472406804</v>
      </c>
      <c r="BR12" s="13">
        <v>73.093534902994577</v>
      </c>
      <c r="BS12" s="13">
        <v>77.394030191156105</v>
      </c>
      <c r="BT12" s="13">
        <v>77.804643841745232</v>
      </c>
      <c r="BU12" s="13">
        <v>79.588457887772663</v>
      </c>
      <c r="BV12" s="13">
        <v>82.19854916107667</v>
      </c>
      <c r="BW12" s="13">
        <v>82.290450640549238</v>
      </c>
      <c r="BX12" s="13">
        <v>80.765970512323577</v>
      </c>
      <c r="BY12" s="13">
        <v>82.641207809576017</v>
      </c>
      <c r="BZ12" s="13">
        <v>82.900427960342242</v>
      </c>
      <c r="CA12" s="13">
        <v>83.239561402609041</v>
      </c>
      <c r="CB12" s="13">
        <v>82.327959083570249</v>
      </c>
      <c r="CC12" s="13">
        <v>82.871384166699897</v>
      </c>
      <c r="CD12" s="13">
        <v>83.048759437178205</v>
      </c>
      <c r="CE12" s="13">
        <v>83.275643986567744</v>
      </c>
      <c r="CF12" s="13">
        <v>81.159947481141899</v>
      </c>
      <c r="CG12" s="13">
        <v>83.437778895721024</v>
      </c>
      <c r="CH12" s="13">
        <v>82.768262065117753</v>
      </c>
      <c r="CI12" s="13">
        <v>83.146787681769794</v>
      </c>
      <c r="CJ12" s="13">
        <v>80.635351712955853</v>
      </c>
    </row>
    <row r="13" spans="1:88" ht="20.149999999999999" customHeight="1" x14ac:dyDescent="0.25">
      <c r="A13" s="12" t="s">
        <v>7</v>
      </c>
      <c r="B13" s="61">
        <v>65.232782912393461</v>
      </c>
      <c r="C13" s="61">
        <v>66.062177002509472</v>
      </c>
      <c r="D13" s="61">
        <v>64.810861016894108</v>
      </c>
      <c r="E13" s="61">
        <v>67.435986670041331</v>
      </c>
      <c r="F13" s="61">
        <v>67.645301214075474</v>
      </c>
      <c r="G13" s="61">
        <v>67.187988058438833</v>
      </c>
      <c r="H13" s="61">
        <v>65.767978084460438</v>
      </c>
      <c r="I13" s="61">
        <v>65.809211333251554</v>
      </c>
      <c r="J13" s="61">
        <v>67.970411701772022</v>
      </c>
      <c r="K13" s="61">
        <v>68.511899881402186</v>
      </c>
      <c r="L13" s="13">
        <v>67.191343690773891</v>
      </c>
      <c r="M13" s="13">
        <v>69.953443978912418</v>
      </c>
      <c r="N13" s="13">
        <v>68.729317026412687</v>
      </c>
      <c r="O13" s="13">
        <v>69.593018511139988</v>
      </c>
      <c r="P13" s="13">
        <v>68.9781910316146</v>
      </c>
      <c r="Q13" s="13">
        <v>70.140609190188769</v>
      </c>
      <c r="R13" s="95">
        <f t="shared" si="0"/>
        <v>69.840925607916262</v>
      </c>
      <c r="S13" s="13">
        <v>69.541242025643768</v>
      </c>
      <c r="T13" s="13">
        <v>68.435880999213296</v>
      </c>
      <c r="U13" s="13">
        <v>71.000234647176924</v>
      </c>
      <c r="V13" s="13">
        <v>70.375268324189506</v>
      </c>
      <c r="W13" s="13">
        <v>71.006244683103688</v>
      </c>
      <c r="X13" s="13">
        <v>70.981055226952932</v>
      </c>
      <c r="Y13" s="13">
        <v>68.707129711818354</v>
      </c>
      <c r="Z13" s="13">
        <v>68.393010809703711</v>
      </c>
      <c r="AA13" s="13">
        <v>71.73056385244918</v>
      </c>
      <c r="AB13" s="13">
        <v>70.189845790606626</v>
      </c>
      <c r="AC13" s="13">
        <v>69.283809729173839</v>
      </c>
      <c r="AD13" s="13">
        <v>70.255895626514089</v>
      </c>
      <c r="AE13" s="13">
        <v>71.052626213986116</v>
      </c>
      <c r="AF13" s="13">
        <v>71.873514961013768</v>
      </c>
      <c r="AG13" s="13">
        <v>72.4175433442404</v>
      </c>
      <c r="AH13" s="13">
        <v>72.332421242404891</v>
      </c>
      <c r="AI13" s="13">
        <v>71.445955689243988</v>
      </c>
      <c r="AJ13" s="13">
        <v>72.40554804659844</v>
      </c>
      <c r="AK13" s="13">
        <v>72.91128615702479</v>
      </c>
      <c r="AL13" s="13">
        <v>71.902938986179336</v>
      </c>
      <c r="AM13" s="13">
        <v>71.296448727869006</v>
      </c>
      <c r="AN13" s="13">
        <v>72</v>
      </c>
      <c r="AO13" s="13">
        <v>73.3</v>
      </c>
      <c r="AP13" s="13">
        <v>72.135509262732782</v>
      </c>
      <c r="AQ13" s="13">
        <v>72.063483613053421</v>
      </c>
      <c r="AR13" s="13">
        <v>70.916322654072033</v>
      </c>
      <c r="AS13" s="13">
        <v>72.242997201346142</v>
      </c>
      <c r="AT13" s="13">
        <v>70.996548779424344</v>
      </c>
      <c r="AU13" s="13">
        <v>71.428386664900401</v>
      </c>
      <c r="AV13" s="13">
        <v>72.085724944403978</v>
      </c>
      <c r="AW13" s="13">
        <v>72.181805631984162</v>
      </c>
      <c r="AX13" s="95">
        <f t="shared" si="4"/>
        <v>71.832198572254399</v>
      </c>
      <c r="AY13" s="95">
        <f t="shared" si="5"/>
        <v>71.65739504238951</v>
      </c>
      <c r="AZ13" s="95">
        <f t="shared" si="6"/>
        <v>71.569993277457073</v>
      </c>
      <c r="BA13" s="39">
        <v>71.482591512524635</v>
      </c>
      <c r="BB13" s="13">
        <v>71.347194199524353</v>
      </c>
      <c r="BC13" s="13">
        <v>70.75624498778545</v>
      </c>
      <c r="BD13" s="13">
        <v>71.2893386582316</v>
      </c>
      <c r="BE13" s="13">
        <v>73.143563605984156</v>
      </c>
      <c r="BF13" s="13">
        <v>72.733538609326615</v>
      </c>
      <c r="BG13" s="13">
        <v>72.655343461783005</v>
      </c>
      <c r="BH13" s="13">
        <v>71.798362634228454</v>
      </c>
      <c r="BI13" s="13">
        <v>72.620771666265455</v>
      </c>
      <c r="BJ13" s="13">
        <v>73.135648711850664</v>
      </c>
      <c r="BK13" s="61">
        <v>72.327569595794074</v>
      </c>
      <c r="BL13" s="13">
        <v>70.984871211581066</v>
      </c>
      <c r="BM13" s="13">
        <v>72.621016900293796</v>
      </c>
      <c r="BN13" s="13">
        <v>73.900548126530225</v>
      </c>
      <c r="BO13" s="13">
        <v>72.117052420082729</v>
      </c>
      <c r="BP13" s="13">
        <v>70.897344368351</v>
      </c>
      <c r="BQ13" s="13">
        <v>59.944679315397465</v>
      </c>
      <c r="BR13" s="13">
        <v>62.749931385534872</v>
      </c>
      <c r="BS13" s="13">
        <v>69.168164244087166</v>
      </c>
      <c r="BT13" s="13">
        <v>72.654522617797355</v>
      </c>
      <c r="BU13" s="13">
        <v>70.988961740066088</v>
      </c>
      <c r="BV13" s="13">
        <v>72.757902366294786</v>
      </c>
      <c r="BW13" s="13">
        <v>73.985672883920884</v>
      </c>
      <c r="BX13" s="13">
        <v>72.7827085847521</v>
      </c>
      <c r="BY13" s="13">
        <v>73.824100782951675</v>
      </c>
      <c r="BZ13" s="13">
        <v>74.676045860518812</v>
      </c>
      <c r="CA13" s="13">
        <v>75.166324182668703</v>
      </c>
      <c r="CB13" s="13">
        <v>76.487085612291764</v>
      </c>
      <c r="CC13" s="13">
        <v>76.019922987796562</v>
      </c>
      <c r="CD13" s="13">
        <v>76.520409618229081</v>
      </c>
      <c r="CE13" s="13">
        <v>75.645151796883965</v>
      </c>
      <c r="CF13" s="13">
        <v>76.065231121060023</v>
      </c>
      <c r="CG13" s="13">
        <v>75.777285744925123</v>
      </c>
      <c r="CH13" s="13">
        <v>76.047106361956793</v>
      </c>
      <c r="CI13" s="13">
        <v>75.980003336399164</v>
      </c>
      <c r="CJ13" s="13">
        <v>76.344123462151828</v>
      </c>
    </row>
    <row r="14" spans="1:88" ht="20.149999999999999" customHeight="1" x14ac:dyDescent="0.25">
      <c r="A14" s="12" t="s">
        <v>8</v>
      </c>
      <c r="B14" s="61">
        <v>21.265412108532679</v>
      </c>
      <c r="C14" s="61">
        <v>23.714336353549275</v>
      </c>
      <c r="D14" s="61">
        <v>22.853036699083081</v>
      </c>
      <c r="E14" s="61">
        <v>23.313369414055547</v>
      </c>
      <c r="F14" s="61">
        <v>23.45097466990055</v>
      </c>
      <c r="G14" s="61">
        <v>24.003850748763533</v>
      </c>
      <c r="H14" s="61">
        <v>23.483153924633381</v>
      </c>
      <c r="I14" s="61">
        <v>25.542859799492607</v>
      </c>
      <c r="J14" s="61">
        <v>26.049506953954666</v>
      </c>
      <c r="K14" s="61">
        <v>25.852136619872677</v>
      </c>
      <c r="L14" s="13">
        <v>25.298775123902541</v>
      </c>
      <c r="M14" s="13">
        <v>25.635334992053565</v>
      </c>
      <c r="N14" s="13">
        <v>25.813817784815633</v>
      </c>
      <c r="O14" s="13">
        <v>26.988123277489496</v>
      </c>
      <c r="P14" s="13">
        <v>25.394060110669759</v>
      </c>
      <c r="Q14" s="13">
        <v>25.151412567847121</v>
      </c>
      <c r="R14" s="95">
        <f t="shared" si="0"/>
        <v>24.805432176695852</v>
      </c>
      <c r="S14" s="13">
        <v>24.459451785544587</v>
      </c>
      <c r="T14" s="13">
        <v>23.031181969947028</v>
      </c>
      <c r="U14" s="13">
        <v>24.326174996344477</v>
      </c>
      <c r="V14" s="13">
        <v>23.513066345070968</v>
      </c>
      <c r="W14" s="13">
        <v>24.614602647183009</v>
      </c>
      <c r="X14" s="13">
        <v>24.65520831079678</v>
      </c>
      <c r="Y14" s="13">
        <v>24.889327204364683</v>
      </c>
      <c r="Z14" s="13">
        <v>23.886445150872664</v>
      </c>
      <c r="AA14" s="13">
        <v>24.786118709999183</v>
      </c>
      <c r="AB14" s="13">
        <v>23.919510300375933</v>
      </c>
      <c r="AC14" s="13">
        <v>25.328498975990509</v>
      </c>
      <c r="AD14" s="13">
        <v>25.049249902657273</v>
      </c>
      <c r="AE14" s="13">
        <v>24.563937674565295</v>
      </c>
      <c r="AF14" s="13">
        <v>24.536114758104702</v>
      </c>
      <c r="AG14" s="13">
        <v>24.508536955916917</v>
      </c>
      <c r="AH14" s="13">
        <v>26.170756085696311</v>
      </c>
      <c r="AI14" s="13">
        <v>25.441900278765779</v>
      </c>
      <c r="AJ14" s="13">
        <v>23.31894641632217</v>
      </c>
      <c r="AK14" s="13">
        <v>25.012909799615358</v>
      </c>
      <c r="AL14" s="13">
        <v>25.562425060827444</v>
      </c>
      <c r="AM14" s="13">
        <v>25.57945793212107</v>
      </c>
      <c r="AN14" s="13">
        <v>23.6</v>
      </c>
      <c r="AO14" s="13">
        <v>25.1</v>
      </c>
      <c r="AP14" s="13">
        <v>25.538171418624913</v>
      </c>
      <c r="AQ14" s="13">
        <v>24.935208385560689</v>
      </c>
      <c r="AR14" s="13">
        <v>25.320901522868073</v>
      </c>
      <c r="AS14" s="13">
        <v>24.964061296536912</v>
      </c>
      <c r="AT14" s="13">
        <v>25.846229231248667</v>
      </c>
      <c r="AU14" s="13">
        <v>26.431963891880798</v>
      </c>
      <c r="AV14" s="13">
        <v>24.902174316581487</v>
      </c>
      <c r="AW14" s="13">
        <v>24.337007112187472</v>
      </c>
      <c r="AX14" s="95">
        <f t="shared" si="4"/>
        <v>24.471142490794108</v>
      </c>
      <c r="AY14" s="95">
        <f t="shared" si="5"/>
        <v>24.53821018009743</v>
      </c>
      <c r="AZ14" s="95">
        <f t="shared" si="6"/>
        <v>24.571744024749087</v>
      </c>
      <c r="BA14" s="39">
        <v>24.605277869400748</v>
      </c>
      <c r="BB14" s="13">
        <v>25.403651670930174</v>
      </c>
      <c r="BC14" s="13">
        <v>24.641463932144095</v>
      </c>
      <c r="BD14" s="13">
        <v>24.904913498110194</v>
      </c>
      <c r="BE14" s="13">
        <v>24.2153092796155</v>
      </c>
      <c r="BF14" s="13">
        <v>25.043997159029068</v>
      </c>
      <c r="BG14" s="13">
        <v>25.412128584796388</v>
      </c>
      <c r="BH14" s="13">
        <v>26.070240102564039</v>
      </c>
      <c r="BI14" s="13">
        <v>24.657519864600598</v>
      </c>
      <c r="BJ14" s="13">
        <v>24.408553427989048</v>
      </c>
      <c r="BK14" s="61">
        <v>24.890580713667131</v>
      </c>
      <c r="BL14" s="13">
        <v>26.164317718731368</v>
      </c>
      <c r="BM14" s="13">
        <v>25.913346945828064</v>
      </c>
      <c r="BN14" s="13">
        <v>25.667918163287496</v>
      </c>
      <c r="BO14" s="13">
        <v>25.917401979861737</v>
      </c>
      <c r="BP14" s="13">
        <v>25.237366700485602</v>
      </c>
      <c r="BQ14" s="13">
        <v>17.113261903405981</v>
      </c>
      <c r="BR14" s="13">
        <v>21.550825229613814</v>
      </c>
      <c r="BS14" s="13">
        <v>24.542538045426365</v>
      </c>
      <c r="BT14" s="13">
        <v>24.655779894058977</v>
      </c>
      <c r="BU14" s="13">
        <v>22.581973786434801</v>
      </c>
      <c r="BV14" s="13">
        <v>25.690630515777098</v>
      </c>
      <c r="BW14" s="13">
        <v>24.976516071750996</v>
      </c>
      <c r="BX14" s="13">
        <v>24.756929349208956</v>
      </c>
      <c r="BY14" s="13">
        <v>26.325622912141423</v>
      </c>
      <c r="BZ14" s="13">
        <v>23.854354296703498</v>
      </c>
      <c r="CA14" s="13">
        <v>24.824969426224339</v>
      </c>
      <c r="CB14" s="13">
        <v>25.134145538959839</v>
      </c>
      <c r="CC14" s="13">
        <v>25.147370866885645</v>
      </c>
      <c r="CD14" s="13">
        <v>26.033666443603593</v>
      </c>
      <c r="CE14" s="13">
        <v>26.620901376876326</v>
      </c>
      <c r="CF14" s="13">
        <v>25.185016285324561</v>
      </c>
      <c r="CG14" s="13">
        <v>26.730727363997463</v>
      </c>
      <c r="CH14" s="13">
        <v>26.489835630078101</v>
      </c>
      <c r="CI14" s="13">
        <v>27.723275462521745</v>
      </c>
      <c r="CJ14" s="13">
        <v>25.551218482962341</v>
      </c>
    </row>
    <row r="15" spans="1:88" ht="20.149999999999999" customHeight="1" thickBot="1" x14ac:dyDescent="0.3">
      <c r="A15" s="14" t="s">
        <v>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6"/>
      <c r="Y15" s="16"/>
      <c r="Z15" s="16"/>
      <c r="AA15" s="16"/>
      <c r="AB15" s="16"/>
      <c r="AC15" s="16"/>
      <c r="AD15" s="16"/>
      <c r="AE15" s="16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45"/>
      <c r="AY15" s="45"/>
      <c r="AZ15" s="45"/>
      <c r="BA15" s="40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</row>
    <row r="16" spans="1:88" ht="20.149999999999999" customHeight="1" x14ac:dyDescent="0.25">
      <c r="A16" s="12" t="s">
        <v>10</v>
      </c>
      <c r="B16" s="61">
        <v>66.613422964474807</v>
      </c>
      <c r="C16" s="61">
        <v>69.029436486074815</v>
      </c>
      <c r="D16" s="61">
        <v>68.070862680370269</v>
      </c>
      <c r="E16" s="61">
        <v>68.184118821877973</v>
      </c>
      <c r="F16" s="61">
        <v>69.088002652836593</v>
      </c>
      <c r="G16" s="61">
        <v>69.763836758907885</v>
      </c>
      <c r="H16" s="61">
        <v>69.002900431730936</v>
      </c>
      <c r="I16" s="61">
        <v>68.906251011691381</v>
      </c>
      <c r="J16" s="61">
        <v>70.187132639206325</v>
      </c>
      <c r="K16" s="61">
        <v>70.032522672619663</v>
      </c>
      <c r="L16" s="13">
        <v>68.856663293194359</v>
      </c>
      <c r="M16" s="13">
        <v>70.071308099297852</v>
      </c>
      <c r="N16" s="13">
        <v>70.408017512655633</v>
      </c>
      <c r="O16" s="13">
        <v>70.108006286033316</v>
      </c>
      <c r="P16" s="13">
        <v>69.450728260756165</v>
      </c>
      <c r="Q16" s="13">
        <v>70.033590325121082</v>
      </c>
      <c r="R16" s="95">
        <f t="shared" si="0"/>
        <v>69.636378776894958</v>
      </c>
      <c r="S16" s="13">
        <v>69.239167228668819</v>
      </c>
      <c r="T16" s="13">
        <v>68.439090515916874</v>
      </c>
      <c r="U16" s="13">
        <v>69.551768964334556</v>
      </c>
      <c r="V16" s="13">
        <v>68.690754842309147</v>
      </c>
      <c r="W16" s="13">
        <v>69.121657237211522</v>
      </c>
      <c r="X16" s="13">
        <v>68.263582316874491</v>
      </c>
      <c r="Y16" s="13">
        <v>67.631240265848973</v>
      </c>
      <c r="Z16" s="13">
        <v>67.345125954557119</v>
      </c>
      <c r="AA16" s="13">
        <v>67.905064595985905</v>
      </c>
      <c r="AB16" s="13">
        <v>67.031474104000935</v>
      </c>
      <c r="AC16" s="13">
        <v>67.625089947724618</v>
      </c>
      <c r="AD16" s="13">
        <v>67.726042697928122</v>
      </c>
      <c r="AE16" s="13">
        <v>68.103757505341321</v>
      </c>
      <c r="AF16" s="13">
        <v>68.223371324109536</v>
      </c>
      <c r="AG16" s="13">
        <v>68.422184090850962</v>
      </c>
      <c r="AH16" s="13">
        <v>68.930574997256841</v>
      </c>
      <c r="AI16" s="13">
        <v>68.977794497916605</v>
      </c>
      <c r="AJ16" s="13">
        <v>67.540621290372314</v>
      </c>
      <c r="AK16" s="13">
        <v>67.843926544832939</v>
      </c>
      <c r="AL16" s="13">
        <v>67.895753601600077</v>
      </c>
      <c r="AM16" s="13">
        <v>68.364675198211756</v>
      </c>
      <c r="AN16" s="13">
        <v>67.099999999999994</v>
      </c>
      <c r="AO16" s="13">
        <v>68.400000000000006</v>
      </c>
      <c r="AP16" s="13">
        <v>67.903684518462669</v>
      </c>
      <c r="AQ16" s="13">
        <v>67.829404564418567</v>
      </c>
      <c r="AR16" s="13">
        <v>67.654372239767753</v>
      </c>
      <c r="AS16" s="13">
        <v>67.523893452001303</v>
      </c>
      <c r="AT16" s="13">
        <v>67.397462279293151</v>
      </c>
      <c r="AU16" s="13">
        <v>67.866894800312949</v>
      </c>
      <c r="AV16" s="13">
        <v>66.927359798355667</v>
      </c>
      <c r="AW16" s="13">
        <v>67.203184974585284</v>
      </c>
      <c r="AX16" s="95">
        <f t="shared" ref="AX16:AX19" si="7">+(AW16+BA16)/2</f>
        <v>65.6314373282095</v>
      </c>
      <c r="AY16" s="95">
        <f t="shared" ref="AY16:AY19" si="8">+(AX16+BA16)/2</f>
        <v>64.845563505021602</v>
      </c>
      <c r="AZ16" s="95">
        <f t="shared" ref="AZ16:AZ19" si="9">+(AY16+BA16)/2</f>
        <v>64.452626593427652</v>
      </c>
      <c r="BA16" s="39">
        <v>64.059689681833703</v>
      </c>
      <c r="BB16" s="13">
        <v>63.501139826632603</v>
      </c>
      <c r="BC16" s="13">
        <v>64.027811566540436</v>
      </c>
      <c r="BD16" s="13">
        <v>63.170075714005399</v>
      </c>
      <c r="BE16" s="13">
        <v>63.390459143772091</v>
      </c>
      <c r="BF16" s="13">
        <v>63.913684076419194</v>
      </c>
      <c r="BG16" s="13">
        <v>64.062874145493737</v>
      </c>
      <c r="BH16" s="13">
        <v>63.494238225375618</v>
      </c>
      <c r="BI16" s="13">
        <v>63.006679529904716</v>
      </c>
      <c r="BJ16" s="13">
        <v>64.067401164008771</v>
      </c>
      <c r="BK16" s="61">
        <v>64.007644548092784</v>
      </c>
      <c r="BL16" s="13">
        <v>63.753935401832976</v>
      </c>
      <c r="BM16" s="13">
        <v>63.644561376106623</v>
      </c>
      <c r="BN16" s="13">
        <v>63.740096017454448</v>
      </c>
      <c r="BO16" s="13">
        <v>64.245912607885757</v>
      </c>
      <c r="BP16" s="13">
        <v>63.240503698434935</v>
      </c>
      <c r="BQ16" s="13">
        <v>55.189130646494419</v>
      </c>
      <c r="BR16" s="13">
        <v>60.912949597245714</v>
      </c>
      <c r="BS16" s="13">
        <v>63.305565738573591</v>
      </c>
      <c r="BT16" s="13">
        <v>64.208922473192345</v>
      </c>
      <c r="BU16" s="13">
        <v>64.285335207924788</v>
      </c>
      <c r="BV16" s="13">
        <v>66.178830641189165</v>
      </c>
      <c r="BW16" s="13">
        <v>66.398496919503927</v>
      </c>
      <c r="BX16" s="13">
        <v>66.00537070759151</v>
      </c>
      <c r="BY16" s="13">
        <v>66.08548069860538</v>
      </c>
      <c r="BZ16" s="13">
        <v>66.122063054214465</v>
      </c>
      <c r="CA16" s="13">
        <v>67.122644090285874</v>
      </c>
      <c r="CB16" s="13">
        <v>66.903019774982113</v>
      </c>
      <c r="CC16" s="13">
        <v>66.029680501848915</v>
      </c>
      <c r="CD16" s="13">
        <v>67.464768779921044</v>
      </c>
      <c r="CE16" s="13">
        <v>68.039729163183424</v>
      </c>
      <c r="CF16" s="13">
        <v>65.901752952258931</v>
      </c>
      <c r="CG16" s="13">
        <v>66.161602771964894</v>
      </c>
      <c r="CH16" s="13">
        <v>66.344487661385216</v>
      </c>
      <c r="CI16" s="13">
        <v>67.3530719897106</v>
      </c>
      <c r="CJ16" s="13">
        <v>66.2284034748388</v>
      </c>
    </row>
    <row r="17" spans="1:88" ht="20.149999999999999" customHeight="1" x14ac:dyDescent="0.25">
      <c r="A17" s="12" t="s">
        <v>11</v>
      </c>
      <c r="B17" s="61">
        <v>45.434318497459373</v>
      </c>
      <c r="C17" s="61">
        <v>43.839254518059924</v>
      </c>
      <c r="D17" s="61">
        <v>45.074557142657937</v>
      </c>
      <c r="E17" s="61">
        <v>46.131732848906708</v>
      </c>
      <c r="F17" s="61">
        <v>45.553399636551532</v>
      </c>
      <c r="G17" s="61">
        <v>46.225109968105791</v>
      </c>
      <c r="H17" s="61">
        <v>44.849129287280128</v>
      </c>
      <c r="I17" s="61">
        <v>46.15109712397134</v>
      </c>
      <c r="J17" s="61">
        <v>46.285100324766113</v>
      </c>
      <c r="K17" s="61">
        <v>47.729144289084608</v>
      </c>
      <c r="L17" s="13">
        <v>46.601279468914484</v>
      </c>
      <c r="M17" s="13">
        <v>47.685933363529386</v>
      </c>
      <c r="N17" s="13">
        <v>47.333092019778725</v>
      </c>
      <c r="O17" s="13">
        <v>46.800999507711275</v>
      </c>
      <c r="P17" s="13">
        <v>46.747937069354592</v>
      </c>
      <c r="Q17" s="13">
        <v>47.798126280741123</v>
      </c>
      <c r="R17" s="95">
        <f t="shared" si="0"/>
        <v>47.226745638771959</v>
      </c>
      <c r="S17" s="13">
        <v>46.655364996802803</v>
      </c>
      <c r="T17" s="13">
        <v>47.353541925304334</v>
      </c>
      <c r="U17" s="13">
        <v>48.070867370399448</v>
      </c>
      <c r="V17" s="13">
        <v>48.119719673210206</v>
      </c>
      <c r="W17" s="13">
        <v>50.314605527277621</v>
      </c>
      <c r="X17" s="13">
        <v>49.088531768020744</v>
      </c>
      <c r="Y17" s="13">
        <v>49.72799257296144</v>
      </c>
      <c r="Z17" s="13">
        <v>49.48002312169951</v>
      </c>
      <c r="AA17" s="13">
        <v>50.826898873659786</v>
      </c>
      <c r="AB17" s="13">
        <v>49.211851535770492</v>
      </c>
      <c r="AC17" s="13">
        <v>49.29866654964016</v>
      </c>
      <c r="AD17" s="13">
        <v>49.37644731112151</v>
      </c>
      <c r="AE17" s="13">
        <v>49.340908839101459</v>
      </c>
      <c r="AF17" s="13">
        <v>49.767723982437154</v>
      </c>
      <c r="AG17" s="13">
        <v>50.331946222247161</v>
      </c>
      <c r="AH17" s="13">
        <v>51.701928292293843</v>
      </c>
      <c r="AI17" s="13">
        <v>50.572951733235058</v>
      </c>
      <c r="AJ17" s="13">
        <v>50.335093719815383</v>
      </c>
      <c r="AK17" s="13">
        <v>50.97487520324411</v>
      </c>
      <c r="AL17" s="13">
        <v>51.579287908408453</v>
      </c>
      <c r="AM17" s="13">
        <v>50.879867770479194</v>
      </c>
      <c r="AN17" s="13">
        <v>49.9</v>
      </c>
      <c r="AO17" s="13">
        <v>50.4</v>
      </c>
      <c r="AP17" s="13">
        <v>51.345366052707675</v>
      </c>
      <c r="AQ17" s="13">
        <v>51.321201867707991</v>
      </c>
      <c r="AR17" s="13">
        <v>51.445483457148633</v>
      </c>
      <c r="AS17" s="13">
        <v>49.889248236505402</v>
      </c>
      <c r="AT17" s="13">
        <v>51.189267185372209</v>
      </c>
      <c r="AU17" s="13">
        <v>51.510203569760179</v>
      </c>
      <c r="AV17" s="13">
        <v>50.653266804899069</v>
      </c>
      <c r="AW17" s="13">
        <v>51.266276957672964</v>
      </c>
      <c r="AX17" s="95">
        <f t="shared" si="7"/>
        <v>51.391620261738751</v>
      </c>
      <c r="AY17" s="95">
        <f t="shared" si="8"/>
        <v>51.454291913771641</v>
      </c>
      <c r="AZ17" s="95">
        <f t="shared" si="9"/>
        <v>51.485627739788086</v>
      </c>
      <c r="BA17" s="39">
        <v>51.516963565804531</v>
      </c>
      <c r="BB17" s="13">
        <v>52.497829685113572</v>
      </c>
      <c r="BC17" s="13">
        <v>52.123739622409325</v>
      </c>
      <c r="BD17" s="13">
        <v>51.803402134926436</v>
      </c>
      <c r="BE17" s="13">
        <v>51.883289367462545</v>
      </c>
      <c r="BF17" s="13">
        <v>52.522225038470559</v>
      </c>
      <c r="BG17" s="13">
        <v>53.561970429663077</v>
      </c>
      <c r="BH17" s="13">
        <v>52.762004906425375</v>
      </c>
      <c r="BI17" s="13">
        <v>53.204442900288875</v>
      </c>
      <c r="BJ17" s="13">
        <v>54.103490648560836</v>
      </c>
      <c r="BK17" s="61">
        <v>53.05732316673469</v>
      </c>
      <c r="BL17" s="13">
        <v>53.84724150268336</v>
      </c>
      <c r="BM17" s="13">
        <v>54.601902091022971</v>
      </c>
      <c r="BN17" s="13">
        <v>54.423379045855349</v>
      </c>
      <c r="BO17" s="13">
        <v>54.963721543725839</v>
      </c>
      <c r="BP17" s="13">
        <v>53.741150287129102</v>
      </c>
      <c r="BQ17" s="13">
        <v>44.816400987061058</v>
      </c>
      <c r="BR17" s="13">
        <v>47.877522696316042</v>
      </c>
      <c r="BS17" s="13">
        <v>52.418380019972446</v>
      </c>
      <c r="BT17" s="13">
        <v>55.003312334201425</v>
      </c>
      <c r="BU17" s="13">
        <v>55.667887598280238</v>
      </c>
      <c r="BV17" s="13">
        <v>58.301130239407328</v>
      </c>
      <c r="BW17" s="13">
        <v>59.565408794157314</v>
      </c>
      <c r="BX17" s="13">
        <v>57.346141686455766</v>
      </c>
      <c r="BY17" s="13">
        <v>60.360349399993787</v>
      </c>
      <c r="BZ17" s="13">
        <v>60.041144851093186</v>
      </c>
      <c r="CA17" s="13">
        <v>59.696568313070017</v>
      </c>
      <c r="CB17" s="13">
        <v>60.918727402620476</v>
      </c>
      <c r="CC17" s="13">
        <v>61.56962231098457</v>
      </c>
      <c r="CD17" s="13">
        <v>60.986009271697952</v>
      </c>
      <c r="CE17" s="13">
        <v>61.583879170869984</v>
      </c>
      <c r="CF17" s="13">
        <v>60.173137421545498</v>
      </c>
      <c r="CG17" s="13">
        <v>61.379040686992091</v>
      </c>
      <c r="CH17" s="13">
        <v>61.326465437082881</v>
      </c>
      <c r="CI17" s="13">
        <v>61.276860395845588</v>
      </c>
      <c r="CJ17" s="13">
        <v>59.487079546646527</v>
      </c>
    </row>
    <row r="18" spans="1:88" ht="20.149999999999999" customHeight="1" x14ac:dyDescent="0.25">
      <c r="A18" s="12" t="s">
        <v>12</v>
      </c>
      <c r="B18" s="61">
        <v>20.548905412009873</v>
      </c>
      <c r="C18" s="61">
        <v>20.703210339780505</v>
      </c>
      <c r="D18" s="61">
        <v>20.944718035742653</v>
      </c>
      <c r="E18" s="61">
        <v>20.696496827448797</v>
      </c>
      <c r="F18" s="61">
        <v>21.49138925740445</v>
      </c>
      <c r="G18" s="61">
        <v>21.984368723955548</v>
      </c>
      <c r="H18" s="61">
        <v>21.556507696299082</v>
      </c>
      <c r="I18" s="61">
        <v>21.755477684352229</v>
      </c>
      <c r="J18" s="61">
        <v>22.133326833039369</v>
      </c>
      <c r="K18" s="61">
        <v>22.729606367824893</v>
      </c>
      <c r="L18" s="13">
        <v>22.732788203325239</v>
      </c>
      <c r="M18" s="13">
        <v>22.98133450730494</v>
      </c>
      <c r="N18" s="13">
        <v>22.377205635026794</v>
      </c>
      <c r="O18" s="13">
        <v>23.991174454816175</v>
      </c>
      <c r="P18" s="13">
        <v>23.735053558795624</v>
      </c>
      <c r="Q18" s="13">
        <v>23.312341390642803</v>
      </c>
      <c r="R18" s="95">
        <f t="shared" si="0"/>
        <v>23.892912030303478</v>
      </c>
      <c r="S18" s="13">
        <v>24.473482669964156</v>
      </c>
      <c r="T18" s="13">
        <v>23.905028743593434</v>
      </c>
      <c r="U18" s="13">
        <v>23.049193960721226</v>
      </c>
      <c r="V18" s="13">
        <v>23.190876905007968</v>
      </c>
      <c r="W18" s="13">
        <v>24.040252592397753</v>
      </c>
      <c r="X18" s="13">
        <v>24.169296355713023</v>
      </c>
      <c r="Y18" s="13">
        <v>23.497574818623587</v>
      </c>
      <c r="Z18" s="13">
        <v>23.019389508740641</v>
      </c>
      <c r="AA18" s="13">
        <v>23.31354179021481</v>
      </c>
      <c r="AB18" s="13">
        <v>24.002354174432732</v>
      </c>
      <c r="AC18" s="13">
        <v>24.124222752104274</v>
      </c>
      <c r="AD18" s="13">
        <v>23.732998136398564</v>
      </c>
      <c r="AE18" s="13">
        <v>23.301556101815592</v>
      </c>
      <c r="AF18" s="13">
        <v>22.615661461659023</v>
      </c>
      <c r="AG18" s="13">
        <v>23.813192653003732</v>
      </c>
      <c r="AH18" s="13">
        <v>23.151768620238318</v>
      </c>
      <c r="AI18" s="13">
        <v>22.957885855417764</v>
      </c>
      <c r="AJ18" s="13">
        <v>21.918807499867519</v>
      </c>
      <c r="AK18" s="13">
        <v>22.933764959838907</v>
      </c>
      <c r="AL18" s="13">
        <v>23.966481982557269</v>
      </c>
      <c r="AM18" s="13">
        <v>22.862749783142256</v>
      </c>
      <c r="AN18" s="13">
        <v>22.7</v>
      </c>
      <c r="AO18" s="13">
        <v>23</v>
      </c>
      <c r="AP18" s="13">
        <v>22.787398091668155</v>
      </c>
      <c r="AQ18" s="13">
        <v>22.897551504775233</v>
      </c>
      <c r="AR18" s="13">
        <v>21.471482241798164</v>
      </c>
      <c r="AS18" s="13">
        <v>21.803709415786511</v>
      </c>
      <c r="AT18" s="13">
        <v>20.971328783344585</v>
      </c>
      <c r="AU18" s="13">
        <v>22.546670486968747</v>
      </c>
      <c r="AV18" s="13">
        <v>21.639650556154063</v>
      </c>
      <c r="AW18" s="13">
        <v>21.325424722965529</v>
      </c>
      <c r="AX18" s="95">
        <f t="shared" si="7"/>
        <v>22.244883343841643</v>
      </c>
      <c r="AY18" s="95">
        <f t="shared" si="8"/>
        <v>22.7046126542797</v>
      </c>
      <c r="AZ18" s="95">
        <f t="shared" si="9"/>
        <v>22.934477309498728</v>
      </c>
      <c r="BA18" s="39">
        <v>23.164341964717757</v>
      </c>
      <c r="BB18" s="13">
        <v>23.528488736843109</v>
      </c>
      <c r="BC18" s="13">
        <v>23.377853841706123</v>
      </c>
      <c r="BD18" s="13">
        <v>23.254447876133924</v>
      </c>
      <c r="BE18" s="13">
        <v>22.958509328212212</v>
      </c>
      <c r="BF18" s="13">
        <v>23.777978748097244</v>
      </c>
      <c r="BG18" s="13">
        <v>24.776214842907574</v>
      </c>
      <c r="BH18" s="13">
        <v>24.151304569620748</v>
      </c>
      <c r="BI18" s="13">
        <v>22.918689835264328</v>
      </c>
      <c r="BJ18" s="13">
        <v>22.773086013589303</v>
      </c>
      <c r="BK18" s="61">
        <v>22.890697198813957</v>
      </c>
      <c r="BL18" s="13">
        <v>22.546873315742854</v>
      </c>
      <c r="BM18" s="13">
        <v>22.786420240729445</v>
      </c>
      <c r="BN18" s="13">
        <v>23.235947878790515</v>
      </c>
      <c r="BO18" s="13">
        <v>23.478083394323964</v>
      </c>
      <c r="BP18" s="13">
        <v>22.745205135542857</v>
      </c>
      <c r="BQ18" s="13">
        <v>14.434277168001975</v>
      </c>
      <c r="BR18" s="13">
        <v>17.673640866672923</v>
      </c>
      <c r="BS18" s="13">
        <v>18.899188453931323</v>
      </c>
      <c r="BT18" s="13">
        <v>21.729275685573036</v>
      </c>
      <c r="BU18" s="13">
        <v>21.557895529309416</v>
      </c>
      <c r="BV18" s="13">
        <v>21.735987640372436</v>
      </c>
      <c r="BW18" s="13">
        <v>21.813050818569248</v>
      </c>
      <c r="BX18" s="13">
        <v>22.620357428282979</v>
      </c>
      <c r="BY18" s="13">
        <v>23.34986648012946</v>
      </c>
      <c r="BZ18" s="13">
        <v>22.368527213041709</v>
      </c>
      <c r="CA18" s="13">
        <v>22.423639526230215</v>
      </c>
      <c r="CB18" s="13">
        <v>22.533243646042472</v>
      </c>
      <c r="CC18" s="13">
        <v>21.67036320290693</v>
      </c>
      <c r="CD18" s="13">
        <v>22.926829181801008</v>
      </c>
      <c r="CE18" s="13">
        <v>23.591594362785205</v>
      </c>
      <c r="CF18" s="13">
        <v>22.204895243531748</v>
      </c>
      <c r="CG18" s="13">
        <v>22.363088853843411</v>
      </c>
      <c r="CH18" s="13">
        <v>22.645150676853174</v>
      </c>
      <c r="CI18" s="13">
        <v>23.403376063565414</v>
      </c>
      <c r="CJ18" s="13">
        <v>22.712541433855083</v>
      </c>
    </row>
    <row r="19" spans="1:88" ht="20.149999999999999" customHeight="1" x14ac:dyDescent="0.25">
      <c r="A19" s="12" t="s">
        <v>13</v>
      </c>
      <c r="B19" s="61">
        <v>20.415194727719566</v>
      </c>
      <c r="C19" s="61">
        <v>22.727817006419844</v>
      </c>
      <c r="D19" s="61">
        <v>22.078384489202154</v>
      </c>
      <c r="E19" s="61">
        <v>23.16263454919482</v>
      </c>
      <c r="F19" s="61">
        <v>24.01041047166812</v>
      </c>
      <c r="G19" s="61">
        <v>23.586421312196812</v>
      </c>
      <c r="H19" s="61">
        <v>21.887788538718308</v>
      </c>
      <c r="I19" s="61">
        <v>23.209990867696785</v>
      </c>
      <c r="J19" s="61">
        <v>26.095156624607451</v>
      </c>
      <c r="K19" s="61">
        <v>24.893579272274742</v>
      </c>
      <c r="L19" s="13">
        <v>24.174788007979434</v>
      </c>
      <c r="M19" s="13">
        <v>26.014028347128981</v>
      </c>
      <c r="N19" s="13">
        <v>25.854525314588766</v>
      </c>
      <c r="O19" s="13">
        <v>27.618120700666648</v>
      </c>
      <c r="P19" s="13">
        <v>26.032044733587828</v>
      </c>
      <c r="Q19" s="13">
        <v>26.590221993125169</v>
      </c>
      <c r="R19" s="95">
        <f t="shared" si="0"/>
        <v>26.369094048212773</v>
      </c>
      <c r="S19" s="13">
        <v>26.147966103300373</v>
      </c>
      <c r="T19" s="13">
        <v>27.038230712855409</v>
      </c>
      <c r="U19" s="13">
        <v>26.086505562230951</v>
      </c>
      <c r="V19" s="13">
        <v>26.450078325546794</v>
      </c>
      <c r="W19" s="13">
        <v>26.380535339118659</v>
      </c>
      <c r="X19" s="13">
        <v>27.385626023938016</v>
      </c>
      <c r="Y19" s="13">
        <v>25.933121810318916</v>
      </c>
      <c r="Z19" s="13">
        <v>24.978430725300658</v>
      </c>
      <c r="AA19" s="13">
        <v>26.403948118203619</v>
      </c>
      <c r="AB19" s="13">
        <v>26.452602855695893</v>
      </c>
      <c r="AC19" s="13">
        <v>25.963971471432579</v>
      </c>
      <c r="AD19" s="13">
        <v>26.847310477773085</v>
      </c>
      <c r="AE19" s="13">
        <v>27.063550997847258</v>
      </c>
      <c r="AF19" s="13">
        <v>26.281799910798242</v>
      </c>
      <c r="AG19" s="13">
        <v>26.120239220354037</v>
      </c>
      <c r="AH19" s="13">
        <v>28.173388911302094</v>
      </c>
      <c r="AI19" s="13">
        <v>26.160858015033934</v>
      </c>
      <c r="AJ19" s="13">
        <v>25.543729117150633</v>
      </c>
      <c r="AK19" s="13">
        <v>26.557563223096579</v>
      </c>
      <c r="AL19" s="13">
        <v>27.299047066488928</v>
      </c>
      <c r="AM19" s="13">
        <v>28.591024130136589</v>
      </c>
      <c r="AN19" s="13">
        <v>25.7</v>
      </c>
      <c r="AO19" s="13">
        <v>27.4</v>
      </c>
      <c r="AP19" s="13">
        <v>27.612693716123861</v>
      </c>
      <c r="AQ19" s="13">
        <v>28.03078764443217</v>
      </c>
      <c r="AR19" s="13">
        <v>26.135515832935248</v>
      </c>
      <c r="AS19" s="13">
        <v>24.764661321084766</v>
      </c>
      <c r="AT19" s="13">
        <v>25.723066159429798</v>
      </c>
      <c r="AU19" s="13">
        <v>25.60017535947069</v>
      </c>
      <c r="AV19" s="13">
        <v>24.681004063446863</v>
      </c>
      <c r="AW19" s="13">
        <v>24.409182254160331</v>
      </c>
      <c r="AX19" s="95">
        <f t="shared" si="7"/>
        <v>24.514402509030013</v>
      </c>
      <c r="AY19" s="95">
        <f t="shared" si="8"/>
        <v>24.567012636464852</v>
      </c>
      <c r="AZ19" s="95">
        <f t="shared" si="9"/>
        <v>24.593317700182276</v>
      </c>
      <c r="BA19" s="39">
        <v>24.619622763899695</v>
      </c>
      <c r="BB19" s="13">
        <v>26.133725005437714</v>
      </c>
      <c r="BC19" s="13">
        <v>24.566470511171772</v>
      </c>
      <c r="BD19" s="13">
        <v>23.128936584956875</v>
      </c>
      <c r="BE19" s="13">
        <v>24.638201930046435</v>
      </c>
      <c r="BF19" s="13">
        <v>26.424387504700935</v>
      </c>
      <c r="BG19" s="13">
        <v>25.247523584547967</v>
      </c>
      <c r="BH19" s="13">
        <v>25.34832855148959</v>
      </c>
      <c r="BI19" s="13">
        <v>25.263473628641357</v>
      </c>
      <c r="BJ19" s="13">
        <v>25.487360632020195</v>
      </c>
      <c r="BK19" s="61">
        <v>25.049889655820067</v>
      </c>
      <c r="BL19" s="13">
        <v>24.686438114290628</v>
      </c>
      <c r="BM19" s="13">
        <v>25.457525895907224</v>
      </c>
      <c r="BN19" s="13">
        <v>23.998620586939563</v>
      </c>
      <c r="BO19" s="13">
        <v>24.101325639420715</v>
      </c>
      <c r="BP19" s="13">
        <v>24.602959117430444</v>
      </c>
      <c r="BQ19" s="13">
        <v>17.616802233444822</v>
      </c>
      <c r="BR19" s="13">
        <v>20.057927704181822</v>
      </c>
      <c r="BS19" s="13">
        <v>27.352581248486306</v>
      </c>
      <c r="BT19" s="13">
        <v>22.894191729422552</v>
      </c>
      <c r="BU19" s="13">
        <v>22.69119167528266</v>
      </c>
      <c r="BV19" s="13">
        <v>22.874508631956175</v>
      </c>
      <c r="BW19" s="13">
        <v>24.570670636512336</v>
      </c>
      <c r="BX19" s="13">
        <v>23.877422428086252</v>
      </c>
      <c r="BY19" s="13">
        <v>26.11703049637612</v>
      </c>
      <c r="BZ19" s="13">
        <v>25.295468958421463</v>
      </c>
      <c r="CA19" s="13">
        <v>26.389672425233012</v>
      </c>
      <c r="CB19" s="13">
        <v>27.13133414023482</v>
      </c>
      <c r="CC19" s="13">
        <v>27.183418451189727</v>
      </c>
      <c r="CD19" s="13">
        <v>28.333365504243929</v>
      </c>
      <c r="CE19" s="13">
        <v>26.635920593273632</v>
      </c>
      <c r="CF19" s="13">
        <v>26.843739050252012</v>
      </c>
      <c r="CG19" s="13">
        <v>27.021740617987287</v>
      </c>
      <c r="CH19" s="13">
        <v>26.471770984308368</v>
      </c>
      <c r="CI19" s="13">
        <v>27.575756821164347</v>
      </c>
      <c r="CJ19" s="13">
        <v>25.858565415810443</v>
      </c>
    </row>
    <row r="20" spans="1:88" ht="20.149999999999999" customHeight="1" thickBot="1" x14ac:dyDescent="0.3">
      <c r="A20" s="14" t="s">
        <v>14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6"/>
      <c r="Y20" s="16"/>
      <c r="Z20" s="16"/>
      <c r="AA20" s="16"/>
      <c r="AB20" s="16"/>
      <c r="AC20" s="16"/>
      <c r="AD20" s="16"/>
      <c r="AE20" s="16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45"/>
      <c r="AY20" s="45"/>
      <c r="AZ20" s="45"/>
      <c r="BA20" s="40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</row>
    <row r="21" spans="1:88" ht="20.149999999999999" customHeight="1" x14ac:dyDescent="0.25">
      <c r="A21" s="12" t="s">
        <v>15</v>
      </c>
      <c r="B21" s="62">
        <v>9.5749500385930268</v>
      </c>
      <c r="C21" s="62">
        <v>9.7297874795650685</v>
      </c>
      <c r="D21" s="62">
        <v>10.617729436073711</v>
      </c>
      <c r="E21" s="62">
        <v>9.9405812275315917</v>
      </c>
      <c r="F21" s="62">
        <v>9.7173592596677683</v>
      </c>
      <c r="G21" s="62">
        <v>9.8494241367374205</v>
      </c>
      <c r="H21" s="62">
        <v>9.9774649958779591</v>
      </c>
      <c r="I21" s="62">
        <v>9.5487630682866609</v>
      </c>
      <c r="J21" s="62">
        <v>10.079746561583343</v>
      </c>
      <c r="K21" s="62">
        <v>10.701893884632065</v>
      </c>
      <c r="L21" s="18">
        <v>9.8204099663248137</v>
      </c>
      <c r="M21" s="18">
        <v>10.496382706069019</v>
      </c>
      <c r="N21" s="18">
        <v>9.9628335927404201</v>
      </c>
      <c r="O21" s="18">
        <v>10.270928746970462</v>
      </c>
      <c r="P21" s="18">
        <v>9.855550779495168</v>
      </c>
      <c r="Q21" s="18">
        <v>9.2629552396552146</v>
      </c>
      <c r="R21" s="95">
        <f t="shared" si="0"/>
        <v>9.4722208566256114</v>
      </c>
      <c r="S21" s="18">
        <v>9.68148647359601</v>
      </c>
      <c r="T21" s="18">
        <v>9.4086168857477954</v>
      </c>
      <c r="U21" s="18">
        <v>8.5766364077202546</v>
      </c>
      <c r="V21" s="18">
        <v>8.8385435594267836</v>
      </c>
      <c r="W21" s="18">
        <v>9.371779191395408</v>
      </c>
      <c r="X21" s="18">
        <v>9.3667232643243974</v>
      </c>
      <c r="Y21" s="18">
        <v>8.8764248446826279</v>
      </c>
      <c r="Z21" s="18">
        <v>8.7922441998487706</v>
      </c>
      <c r="AA21" s="18">
        <v>8.303256391706979</v>
      </c>
      <c r="AB21" s="18">
        <v>7.9330769692171303</v>
      </c>
      <c r="AC21" s="18">
        <v>8.2613250619003598</v>
      </c>
      <c r="AD21" s="18">
        <v>9.9723748295343846</v>
      </c>
      <c r="AE21" s="18">
        <v>9.6360637972719445</v>
      </c>
      <c r="AF21" s="19">
        <v>9.0550380120031271</v>
      </c>
      <c r="AG21" s="19">
        <v>9.1056349354137129</v>
      </c>
      <c r="AH21" s="19">
        <v>9.2950369964189292</v>
      </c>
      <c r="AI21" s="19">
        <v>8.8236274867208149</v>
      </c>
      <c r="AJ21" s="19">
        <v>7.8398984364683511</v>
      </c>
      <c r="AK21" s="19">
        <v>8.1708112393682857</v>
      </c>
      <c r="AL21" s="19">
        <v>7.6312578538389939</v>
      </c>
      <c r="AM21" s="19">
        <v>7.5731756451589565</v>
      </c>
      <c r="AN21" s="19">
        <v>7</v>
      </c>
      <c r="AO21" s="19">
        <v>7</v>
      </c>
      <c r="AP21" s="19">
        <v>7.5546555402288886</v>
      </c>
      <c r="AQ21" s="19">
        <v>7.3941357637210148</v>
      </c>
      <c r="AR21" s="19">
        <v>7.2642466330432036</v>
      </c>
      <c r="AS21" s="19">
        <v>6.0707494844471857</v>
      </c>
      <c r="AT21" s="19">
        <v>6.5001672993474315</v>
      </c>
      <c r="AU21" s="19">
        <v>7.015685089728013</v>
      </c>
      <c r="AV21" s="19">
        <v>6.8018594182364707</v>
      </c>
      <c r="AW21" s="19">
        <v>6.5387488208918727</v>
      </c>
      <c r="AX21" s="95">
        <f t="shared" ref="AX21:AX26" si="10">+(AW21+BA21)/2</f>
        <v>6.9242128870388582</v>
      </c>
      <c r="AY21" s="95">
        <f t="shared" ref="AY21:AY26" si="11">+(AX21+BA21)/2</f>
        <v>7.1169449201123509</v>
      </c>
      <c r="AZ21" s="95">
        <f t="shared" ref="AZ21:AZ26" si="12">+(AY21+BA21)/2</f>
        <v>7.2133109366490977</v>
      </c>
      <c r="BA21" s="19">
        <v>7.3096769531858437</v>
      </c>
      <c r="BB21" s="19">
        <v>7.5235445909516017</v>
      </c>
      <c r="BC21" s="19">
        <v>7.0210311323602808</v>
      </c>
      <c r="BD21" s="19">
        <v>7.8808940442395139</v>
      </c>
      <c r="BE21" s="19">
        <v>6.7087640717209016</v>
      </c>
      <c r="BF21" s="19">
        <v>6.9892142731824913</v>
      </c>
      <c r="BG21" s="19">
        <v>7.0589793220211474</v>
      </c>
      <c r="BH21" s="19">
        <v>7.0184542040616984</v>
      </c>
      <c r="BI21" s="19">
        <v>6.6315455819074121</v>
      </c>
      <c r="BJ21" s="19">
        <v>6.7108166210894478</v>
      </c>
      <c r="BK21" s="67">
        <v>6.9308747565351299</v>
      </c>
      <c r="BL21" s="19">
        <v>7.1690396125470652</v>
      </c>
      <c r="BM21" s="19">
        <v>7.2214800807836141</v>
      </c>
      <c r="BN21" s="19">
        <v>7.2899204734830674</v>
      </c>
      <c r="BO21" s="19">
        <v>6.4399119501054676</v>
      </c>
      <c r="BP21" s="19">
        <v>7.0443963894470452</v>
      </c>
      <c r="BQ21" s="19">
        <v>3.9485848601675797</v>
      </c>
      <c r="BR21" s="19">
        <v>5.0873511015954431</v>
      </c>
      <c r="BS21" s="19">
        <v>6.3132853204492561</v>
      </c>
      <c r="BT21" s="19">
        <v>5.0384617537365646</v>
      </c>
      <c r="BU21" s="19">
        <v>5.1594124083981079</v>
      </c>
      <c r="BV21" s="19">
        <v>6.2288523651307752</v>
      </c>
      <c r="BW21" s="19">
        <v>5.8285763110641122</v>
      </c>
      <c r="BX21" s="19">
        <v>6.3406042684035366</v>
      </c>
      <c r="BY21" s="19">
        <v>6.8751127246382673</v>
      </c>
      <c r="BZ21" s="19">
        <v>6.8757574404097248</v>
      </c>
      <c r="CA21" s="19">
        <v>5.7049280538264346</v>
      </c>
      <c r="CB21" s="19">
        <v>5.8451411446438772</v>
      </c>
      <c r="CC21" s="19">
        <v>5.9058317661352255</v>
      </c>
      <c r="CD21" s="19">
        <v>6.1983884660461026</v>
      </c>
      <c r="CE21" s="19">
        <v>4.7095158677842734</v>
      </c>
      <c r="CF21" s="19">
        <v>5.4771141761740703</v>
      </c>
      <c r="CG21" s="19">
        <v>5.8599751136197211</v>
      </c>
      <c r="CH21" s="19">
        <v>5.6694729565312736</v>
      </c>
      <c r="CI21" s="19">
        <v>5.2491699220315127</v>
      </c>
      <c r="CJ21" s="19">
        <v>5.3222461897451963</v>
      </c>
    </row>
    <row r="22" spans="1:88" ht="20.149999999999999" customHeight="1" x14ac:dyDescent="0.25">
      <c r="A22" s="12" t="s">
        <v>16</v>
      </c>
      <c r="B22" s="62">
        <v>45.123639157393335</v>
      </c>
      <c r="C22" s="62">
        <v>47.510913956570157</v>
      </c>
      <c r="D22" s="62">
        <v>47.400952932793913</v>
      </c>
      <c r="E22" s="62">
        <v>47.16849568858926</v>
      </c>
      <c r="F22" s="62">
        <v>47.86445345199806</v>
      </c>
      <c r="G22" s="62">
        <v>48.196725741103478</v>
      </c>
      <c r="H22" s="62">
        <v>48.093774605117005</v>
      </c>
      <c r="I22" s="62">
        <v>48.286955817181351</v>
      </c>
      <c r="J22" s="62">
        <v>52.116747396575335</v>
      </c>
      <c r="K22" s="62">
        <v>51.266086428513702</v>
      </c>
      <c r="L22" s="18">
        <v>50.940253858921182</v>
      </c>
      <c r="M22" s="18">
        <v>49.307208708696344</v>
      </c>
      <c r="N22" s="18">
        <v>52.438531491256313</v>
      </c>
      <c r="O22" s="18">
        <v>51.860841364710552</v>
      </c>
      <c r="P22" s="18">
        <v>51.502060520002082</v>
      </c>
      <c r="Q22" s="18">
        <v>52.256330208196985</v>
      </c>
      <c r="R22" s="95">
        <f t="shared" si="0"/>
        <v>51.498607137057874</v>
      </c>
      <c r="S22" s="18">
        <v>50.740884065918756</v>
      </c>
      <c r="T22" s="18">
        <v>51.056365623517245</v>
      </c>
      <c r="U22" s="18">
        <v>51.961673515880356</v>
      </c>
      <c r="V22" s="18">
        <v>50.715114243329715</v>
      </c>
      <c r="W22" s="18">
        <v>50.942002724025713</v>
      </c>
      <c r="X22" s="18">
        <v>51.403843002999871</v>
      </c>
      <c r="Y22" s="18">
        <v>48.885566142382736</v>
      </c>
      <c r="Z22" s="18">
        <v>48.701838152149776</v>
      </c>
      <c r="AA22" s="18">
        <v>50.865216237327971</v>
      </c>
      <c r="AB22" s="18">
        <v>50.054737250021432</v>
      </c>
      <c r="AC22" s="18">
        <v>50.557018124465273</v>
      </c>
      <c r="AD22" s="18">
        <v>50.230374796768686</v>
      </c>
      <c r="AE22" s="18">
        <v>50.670408545809345</v>
      </c>
      <c r="AF22" s="19">
        <v>49.415897932538591</v>
      </c>
      <c r="AG22" s="19">
        <v>49.727055444883348</v>
      </c>
      <c r="AH22" s="19">
        <v>51.759422129003063</v>
      </c>
      <c r="AI22" s="19">
        <v>50.634170369749313</v>
      </c>
      <c r="AJ22" s="19">
        <v>49.539840744403755</v>
      </c>
      <c r="AK22" s="19">
        <v>50.498511077523133</v>
      </c>
      <c r="AL22" s="19">
        <v>50.620397691495064</v>
      </c>
      <c r="AM22" s="19">
        <v>49.743125837865712</v>
      </c>
      <c r="AN22" s="19">
        <v>48.1</v>
      </c>
      <c r="AO22" s="19">
        <v>49.2</v>
      </c>
      <c r="AP22" s="19">
        <v>50.493093962824297</v>
      </c>
      <c r="AQ22" s="19">
        <v>48.31973833477295</v>
      </c>
      <c r="AR22" s="19">
        <v>49.214035428585845</v>
      </c>
      <c r="AS22" s="19">
        <v>49.454584200691812</v>
      </c>
      <c r="AT22" s="19">
        <v>48.524457479990161</v>
      </c>
      <c r="AU22" s="19">
        <v>49.124893330446753</v>
      </c>
      <c r="AV22" s="19">
        <v>48.4582293314674</v>
      </c>
      <c r="AW22" s="19">
        <v>49.234038278768963</v>
      </c>
      <c r="AX22" s="95">
        <f t="shared" si="10"/>
        <v>48.137052244522096</v>
      </c>
      <c r="AY22" s="95">
        <f t="shared" si="11"/>
        <v>47.588559227398662</v>
      </c>
      <c r="AZ22" s="95">
        <f t="shared" si="12"/>
        <v>47.314312718836945</v>
      </c>
      <c r="BA22" s="19">
        <v>47.040066210275221</v>
      </c>
      <c r="BB22" s="19">
        <v>46.972394007635813</v>
      </c>
      <c r="BC22" s="19">
        <v>45.288255903899532</v>
      </c>
      <c r="BD22" s="19">
        <v>43.478615320066496</v>
      </c>
      <c r="BE22" s="19">
        <v>46.601081403843438</v>
      </c>
      <c r="BF22" s="19">
        <v>45.470929072972652</v>
      </c>
      <c r="BG22" s="19">
        <v>45.792852313481099</v>
      </c>
      <c r="BH22" s="19">
        <v>44.123339918541262</v>
      </c>
      <c r="BI22" s="19">
        <v>44.565863530006958</v>
      </c>
      <c r="BJ22" s="19">
        <v>44.743703968757536</v>
      </c>
      <c r="BK22" s="67">
        <v>43.673779280472587</v>
      </c>
      <c r="BL22" s="19">
        <v>45.911934668022489</v>
      </c>
      <c r="BM22" s="19">
        <v>46.071419532811987</v>
      </c>
      <c r="BN22" s="19">
        <v>43.503810527068268</v>
      </c>
      <c r="BO22" s="19">
        <v>44.391003300700291</v>
      </c>
      <c r="BP22" s="19">
        <v>45.410510185942904</v>
      </c>
      <c r="BQ22" s="19">
        <v>34.104640175724271</v>
      </c>
      <c r="BR22" s="19">
        <v>39.214046922714545</v>
      </c>
      <c r="BS22" s="19">
        <v>45.730891715527569</v>
      </c>
      <c r="BT22" s="19">
        <v>44.287152783223803</v>
      </c>
      <c r="BU22" s="19">
        <v>46.268269466214562</v>
      </c>
      <c r="BV22" s="19">
        <v>44.747179938858537</v>
      </c>
      <c r="BW22" s="19">
        <v>46.855220470794251</v>
      </c>
      <c r="BX22" s="19">
        <v>45.350815721219611</v>
      </c>
      <c r="BY22" s="19">
        <v>45.955827300650938</v>
      </c>
      <c r="BZ22" s="19">
        <v>46.215333489688618</v>
      </c>
      <c r="CA22" s="19">
        <v>47.499066663840843</v>
      </c>
      <c r="CB22" s="19">
        <v>47.239489838189321</v>
      </c>
      <c r="CC22" s="19">
        <v>47.556630673328989</v>
      </c>
      <c r="CD22" s="19">
        <v>48.37556108173446</v>
      </c>
      <c r="CE22" s="19">
        <v>47.98381828475754</v>
      </c>
      <c r="CF22" s="19">
        <v>44.55541795996146</v>
      </c>
      <c r="CG22" s="19">
        <v>46.638863661788562</v>
      </c>
      <c r="CH22" s="19">
        <v>46.099476733187586</v>
      </c>
      <c r="CI22" s="19">
        <v>48.132897937562298</v>
      </c>
      <c r="CJ22" s="19">
        <v>45.292118365528822</v>
      </c>
    </row>
    <row r="23" spans="1:88" ht="20.149999999999999" customHeight="1" x14ac:dyDescent="0.25">
      <c r="A23" s="12" t="s">
        <v>17</v>
      </c>
      <c r="B23" s="62">
        <v>40.947975805206219</v>
      </c>
      <c r="C23" s="62">
        <v>40.640527106446079</v>
      </c>
      <c r="D23" s="62">
        <v>38.959212926256754</v>
      </c>
      <c r="E23" s="62">
        <v>39.886831350932475</v>
      </c>
      <c r="F23" s="62">
        <v>41.131307671346789</v>
      </c>
      <c r="G23" s="62">
        <v>41.305473335674506</v>
      </c>
      <c r="H23" s="62">
        <v>39.775789245229468</v>
      </c>
      <c r="I23" s="62">
        <v>38.475656500219493</v>
      </c>
      <c r="J23" s="62">
        <v>37.731304578715331</v>
      </c>
      <c r="K23" s="62">
        <v>37.692630183022366</v>
      </c>
      <c r="L23" s="18">
        <v>36.452598119452233</v>
      </c>
      <c r="M23" s="18">
        <v>40.926762159572853</v>
      </c>
      <c r="N23" s="18">
        <v>37.751009866253142</v>
      </c>
      <c r="O23" s="18">
        <v>39.250182175096292</v>
      </c>
      <c r="P23" s="18">
        <v>38.034436765658896</v>
      </c>
      <c r="Q23" s="18">
        <v>38.375747813442551</v>
      </c>
      <c r="R23" s="95">
        <f t="shared" si="0"/>
        <v>38.633948161554684</v>
      </c>
      <c r="S23" s="18">
        <v>38.892148509666818</v>
      </c>
      <c r="T23" s="18">
        <v>37.134518615761742</v>
      </c>
      <c r="U23" s="18">
        <v>36.807244219848144</v>
      </c>
      <c r="V23" s="18">
        <v>37.088110543820349</v>
      </c>
      <c r="W23" s="18">
        <v>38.701451038503414</v>
      </c>
      <c r="X23" s="18">
        <v>37.245169051855939</v>
      </c>
      <c r="Y23" s="18">
        <v>36.875163575243356</v>
      </c>
      <c r="Z23" s="18">
        <v>36.664040688864475</v>
      </c>
      <c r="AA23" s="18">
        <v>36.741144168302142</v>
      </c>
      <c r="AB23" s="18">
        <v>35.720835542167677</v>
      </c>
      <c r="AC23" s="18">
        <v>36.924255699374754</v>
      </c>
      <c r="AD23" s="18">
        <v>40.118784741785717</v>
      </c>
      <c r="AE23" s="18">
        <v>39.623370802598053</v>
      </c>
      <c r="AF23" s="19">
        <v>39.729750704028476</v>
      </c>
      <c r="AG23" s="19">
        <v>41.172872195743672</v>
      </c>
      <c r="AH23" s="19">
        <v>40.001707792349968</v>
      </c>
      <c r="AI23" s="19">
        <v>39.641484967341221</v>
      </c>
      <c r="AJ23" s="19">
        <v>34.863998228872077</v>
      </c>
      <c r="AK23" s="19">
        <v>36.324390819676417</v>
      </c>
      <c r="AL23" s="19">
        <v>37.293418001097791</v>
      </c>
      <c r="AM23" s="19">
        <v>36.932398398828525</v>
      </c>
      <c r="AN23" s="19">
        <v>34.799999999999997</v>
      </c>
      <c r="AO23" s="19">
        <v>36.200000000000003</v>
      </c>
      <c r="AP23" s="19">
        <v>35.218050737635018</v>
      </c>
      <c r="AQ23" s="19">
        <v>36.841996258483931</v>
      </c>
      <c r="AR23" s="19">
        <v>35.514582119059604</v>
      </c>
      <c r="AS23" s="19">
        <v>34.802130580577767</v>
      </c>
      <c r="AT23" s="19">
        <v>34.852266290114692</v>
      </c>
      <c r="AU23" s="19">
        <v>35.233506892676104</v>
      </c>
      <c r="AV23" s="19">
        <v>33.306724719575328</v>
      </c>
      <c r="AW23" s="19">
        <v>34.72567695507508</v>
      </c>
      <c r="AX23" s="95">
        <f t="shared" si="10"/>
        <v>33.912868218798344</v>
      </c>
      <c r="AY23" s="95">
        <f t="shared" si="11"/>
        <v>33.506463850659976</v>
      </c>
      <c r="AZ23" s="95">
        <f t="shared" si="12"/>
        <v>33.303261666590792</v>
      </c>
      <c r="BA23" s="19">
        <v>33.100059482521608</v>
      </c>
      <c r="BB23" s="19">
        <v>33.995025747654175</v>
      </c>
      <c r="BC23" s="19">
        <v>33.990037232140189</v>
      </c>
      <c r="BD23" s="19">
        <v>33.701079481734986</v>
      </c>
      <c r="BE23" s="19">
        <v>33.594796674498149</v>
      </c>
      <c r="BF23" s="19">
        <v>34.929843019419373</v>
      </c>
      <c r="BG23" s="19">
        <v>36.551342036482183</v>
      </c>
      <c r="BH23" s="19">
        <v>34.083352797867285</v>
      </c>
      <c r="BI23" s="19">
        <v>34.388028501611231</v>
      </c>
      <c r="BJ23" s="19">
        <v>35.361381567031003</v>
      </c>
      <c r="BK23" s="67">
        <v>34.295861612354656</v>
      </c>
      <c r="BL23" s="19">
        <v>33.067721097821668</v>
      </c>
      <c r="BM23" s="19">
        <v>32.917955700040707</v>
      </c>
      <c r="BN23" s="19">
        <v>33.592495611377586</v>
      </c>
      <c r="BO23" s="19">
        <v>34.331163184259893</v>
      </c>
      <c r="BP23" s="19">
        <v>32.904673179821422</v>
      </c>
      <c r="BQ23" s="19">
        <v>24.003579889614684</v>
      </c>
      <c r="BR23" s="19">
        <v>28.523610557166805</v>
      </c>
      <c r="BS23" s="19">
        <v>32.562103565095221</v>
      </c>
      <c r="BT23" s="19">
        <v>33.431510632868047</v>
      </c>
      <c r="BU23" s="19">
        <v>31.253123690129943</v>
      </c>
      <c r="BV23" s="19">
        <v>32.534744490176585</v>
      </c>
      <c r="BW23" s="19">
        <v>34.864771877311959</v>
      </c>
      <c r="BX23" s="19">
        <v>35.453729881609689</v>
      </c>
      <c r="BY23" s="19">
        <v>35.758870453518952</v>
      </c>
      <c r="BZ23" s="19">
        <v>36.52739521151284</v>
      </c>
      <c r="CA23" s="19">
        <v>37.322693386681195</v>
      </c>
      <c r="CB23" s="19">
        <v>36.478811118238866</v>
      </c>
      <c r="CC23" s="19">
        <v>34.838226722995707</v>
      </c>
      <c r="CD23" s="19">
        <v>35.940295373202339</v>
      </c>
      <c r="CE23" s="19">
        <v>37.68890279400275</v>
      </c>
      <c r="CF23" s="19">
        <v>34.310621086145566</v>
      </c>
      <c r="CG23" s="19">
        <v>35.242753981489926</v>
      </c>
      <c r="CH23" s="19">
        <v>34.191356234614354</v>
      </c>
      <c r="CI23" s="19">
        <v>34.340637932580279</v>
      </c>
      <c r="CJ23" s="19">
        <v>33.670848730518252</v>
      </c>
    </row>
    <row r="24" spans="1:88" ht="20.149999999999999" customHeight="1" x14ac:dyDescent="0.25">
      <c r="A24" s="12" t="s">
        <v>18</v>
      </c>
      <c r="B24" s="62">
        <v>58.716547151311325</v>
      </c>
      <c r="C24" s="62">
        <v>59.53556707209038</v>
      </c>
      <c r="D24" s="62">
        <v>59.565708951951223</v>
      </c>
      <c r="E24" s="62">
        <v>60.467049102329952</v>
      </c>
      <c r="F24" s="62">
        <v>61.502503920901397</v>
      </c>
      <c r="G24" s="62">
        <v>62.428344652585544</v>
      </c>
      <c r="H24" s="62">
        <v>61.292574547465115</v>
      </c>
      <c r="I24" s="62">
        <v>62.750612521021196</v>
      </c>
      <c r="J24" s="62">
        <v>63.433894601028342</v>
      </c>
      <c r="K24" s="62">
        <v>63.094138239897212</v>
      </c>
      <c r="L24" s="18">
        <v>62.682522596612735</v>
      </c>
      <c r="M24" s="18">
        <v>62.932962820048211</v>
      </c>
      <c r="N24" s="18">
        <v>63.780751887683316</v>
      </c>
      <c r="O24" s="18">
        <v>63.642579780486329</v>
      </c>
      <c r="P24" s="18">
        <v>62.979212647558889</v>
      </c>
      <c r="Q24" s="18">
        <v>64.610379979357475</v>
      </c>
      <c r="R24" s="95">
        <f t="shared" si="0"/>
        <v>64.0923299783571</v>
      </c>
      <c r="S24" s="18">
        <v>63.574279977356717</v>
      </c>
      <c r="T24" s="18">
        <v>63.044850270936251</v>
      </c>
      <c r="U24" s="18">
        <v>64.819433754897389</v>
      </c>
      <c r="V24" s="18">
        <v>64.481425449655404</v>
      </c>
      <c r="W24" s="18">
        <v>64.826034071173495</v>
      </c>
      <c r="X24" s="18">
        <v>63.977308582454981</v>
      </c>
      <c r="Y24" s="18">
        <v>64.878643964418131</v>
      </c>
      <c r="Z24" s="18">
        <v>64.59310290976336</v>
      </c>
      <c r="AA24" s="18">
        <v>65.210014559241884</v>
      </c>
      <c r="AB24" s="18">
        <v>63.329820864067443</v>
      </c>
      <c r="AC24" s="18">
        <v>63.442557167096837</v>
      </c>
      <c r="AD24" s="18">
        <v>65.148021834606723</v>
      </c>
      <c r="AE24" s="18">
        <v>63.598216126922992</v>
      </c>
      <c r="AF24" s="19">
        <v>62.940621228914651</v>
      </c>
      <c r="AG24" s="19">
        <v>65.523903544566082</v>
      </c>
      <c r="AH24" s="19">
        <v>66.523239679253905</v>
      </c>
      <c r="AI24" s="19">
        <v>64.756986296737352</v>
      </c>
      <c r="AJ24" s="19">
        <v>63.765028781257762</v>
      </c>
      <c r="AK24" s="19">
        <v>63.904307995096232</v>
      </c>
      <c r="AL24" s="19">
        <v>65.300019889617161</v>
      </c>
      <c r="AM24" s="19">
        <v>65.061184039122438</v>
      </c>
      <c r="AN24" s="19">
        <v>63.1</v>
      </c>
      <c r="AO24" s="19">
        <v>65.900000000000006</v>
      </c>
      <c r="AP24" s="19">
        <v>65.520639614539874</v>
      </c>
      <c r="AQ24" s="19">
        <v>65.461645386380184</v>
      </c>
      <c r="AR24" s="19">
        <v>63.318794917139321</v>
      </c>
      <c r="AS24" s="19">
        <v>63.422619156479087</v>
      </c>
      <c r="AT24" s="19">
        <v>63.319924031441346</v>
      </c>
      <c r="AU24" s="19">
        <v>64.242174894487135</v>
      </c>
      <c r="AV24" s="19">
        <v>63.134329411206338</v>
      </c>
      <c r="AW24" s="19">
        <v>62.945952448116401</v>
      </c>
      <c r="AX24" s="95">
        <f t="shared" si="10"/>
        <v>63.150622267663294</v>
      </c>
      <c r="AY24" s="95">
        <f t="shared" si="11"/>
        <v>63.252957177436741</v>
      </c>
      <c r="AZ24" s="95">
        <f t="shared" si="12"/>
        <v>63.304124632323465</v>
      </c>
      <c r="BA24" s="19">
        <v>63.355292087210181</v>
      </c>
      <c r="BB24" s="19">
        <v>63.753902333623216</v>
      </c>
      <c r="BC24" s="19">
        <v>63.675628082644764</v>
      </c>
      <c r="BD24" s="19">
        <v>62.286965217694146</v>
      </c>
      <c r="BE24" s="19">
        <v>62.415622077244635</v>
      </c>
      <c r="BF24" s="19">
        <v>64.081599264174073</v>
      </c>
      <c r="BG24" s="19">
        <v>62.599090768129628</v>
      </c>
      <c r="BH24" s="19">
        <v>63.000916077299472</v>
      </c>
      <c r="BI24" s="19">
        <v>62.817078113581317</v>
      </c>
      <c r="BJ24" s="19">
        <v>62.923245393241643</v>
      </c>
      <c r="BK24" s="67">
        <v>62.468211059860344</v>
      </c>
      <c r="BL24" s="19">
        <v>60.968150403273945</v>
      </c>
      <c r="BM24" s="19">
        <v>63.006562591008432</v>
      </c>
      <c r="BN24" s="19">
        <v>62.117870363605363</v>
      </c>
      <c r="BO24" s="19">
        <v>62.989384701679761</v>
      </c>
      <c r="BP24" s="19">
        <v>60.90887979975809</v>
      </c>
      <c r="BQ24" s="19">
        <v>51.090902024039721</v>
      </c>
      <c r="BR24" s="19">
        <v>55.445866296361714</v>
      </c>
      <c r="BS24" s="19">
        <v>57.531840440225132</v>
      </c>
      <c r="BT24" s="19">
        <v>58.727258712212738</v>
      </c>
      <c r="BU24" s="19">
        <v>61.04849769547608</v>
      </c>
      <c r="BV24" s="19">
        <v>63.649657421114405</v>
      </c>
      <c r="BW24" s="19">
        <v>63.206867144874636</v>
      </c>
      <c r="BX24" s="19">
        <v>62.525688959864624</v>
      </c>
      <c r="BY24" s="19">
        <v>65.991481802039644</v>
      </c>
      <c r="BZ24" s="19">
        <v>64.194498851047996</v>
      </c>
      <c r="CA24" s="19">
        <v>64.323475841020993</v>
      </c>
      <c r="CB24" s="19">
        <v>66.456656527852303</v>
      </c>
      <c r="CC24" s="19">
        <v>66.994597839748508</v>
      </c>
      <c r="CD24" s="19">
        <v>66.42371971478714</v>
      </c>
      <c r="CE24" s="19">
        <v>66.922337260820058</v>
      </c>
      <c r="CF24" s="19">
        <v>65.429003087201153</v>
      </c>
      <c r="CG24" s="19">
        <v>65.573601916963995</v>
      </c>
      <c r="CH24" s="19">
        <v>66.455084564343721</v>
      </c>
      <c r="CI24" s="19">
        <v>66.096284756324721</v>
      </c>
      <c r="CJ24" s="19">
        <v>64.592835020095023</v>
      </c>
    </row>
    <row r="25" spans="1:88" ht="20.149999999999999" customHeight="1" x14ac:dyDescent="0.25">
      <c r="A25" s="12" t="s">
        <v>19</v>
      </c>
      <c r="B25" s="62">
        <v>50.353238728358065</v>
      </c>
      <c r="C25" s="62">
        <v>53.062104810966062</v>
      </c>
      <c r="D25" s="62">
        <v>49.408838665804737</v>
      </c>
      <c r="E25" s="62">
        <v>51.372728159695555</v>
      </c>
      <c r="F25" s="62">
        <v>52.836929700438084</v>
      </c>
      <c r="G25" s="62">
        <v>54.422384571657155</v>
      </c>
      <c r="H25" s="62">
        <v>49.32902301902778</v>
      </c>
      <c r="I25" s="62">
        <v>52.45757505600335</v>
      </c>
      <c r="J25" s="62">
        <v>53.925077576808611</v>
      </c>
      <c r="K25" s="62">
        <v>56.917267093954081</v>
      </c>
      <c r="L25" s="18">
        <v>53.262821531244498</v>
      </c>
      <c r="M25" s="18">
        <v>54.206751991049849</v>
      </c>
      <c r="N25" s="18">
        <v>56.679072510880282</v>
      </c>
      <c r="O25" s="18">
        <v>56.428950430000192</v>
      </c>
      <c r="P25" s="18">
        <v>54.063456502799198</v>
      </c>
      <c r="Q25" s="18">
        <v>56.093923180046815</v>
      </c>
      <c r="R25" s="95">
        <f t="shared" si="0"/>
        <v>56.437830850863307</v>
      </c>
      <c r="S25" s="18">
        <v>56.781738521679806</v>
      </c>
      <c r="T25" s="18">
        <v>54.713507644433498</v>
      </c>
      <c r="U25" s="18">
        <v>54.887011879995953</v>
      </c>
      <c r="V25" s="18">
        <v>56.233075340771499</v>
      </c>
      <c r="W25" s="18">
        <v>58.033859851715228</v>
      </c>
      <c r="X25" s="18">
        <v>54.08433665305683</v>
      </c>
      <c r="Y25" s="18">
        <v>54.92669592669592</v>
      </c>
      <c r="Z25" s="18">
        <v>57.547590286744132</v>
      </c>
      <c r="AA25" s="18">
        <v>57.32366860796111</v>
      </c>
      <c r="AB25" s="18">
        <v>53.911901992431822</v>
      </c>
      <c r="AC25" s="18">
        <v>54.750710199246711</v>
      </c>
      <c r="AD25" s="18">
        <v>55.49453903395478</v>
      </c>
      <c r="AE25" s="18">
        <v>56.164915377208416</v>
      </c>
      <c r="AF25" s="19">
        <v>56.253856822130885</v>
      </c>
      <c r="AG25" s="19">
        <v>54.876281380694891</v>
      </c>
      <c r="AH25" s="19">
        <v>54.559714665663627</v>
      </c>
      <c r="AI25" s="19">
        <v>56.256272509455854</v>
      </c>
      <c r="AJ25" s="19">
        <v>52.747755016267448</v>
      </c>
      <c r="AK25" s="19">
        <v>54.298093495891976</v>
      </c>
      <c r="AL25" s="19">
        <v>56.317831097356418</v>
      </c>
      <c r="AM25" s="19">
        <v>55.307738069371247</v>
      </c>
      <c r="AN25" s="19">
        <v>52.3</v>
      </c>
      <c r="AO25" s="19">
        <v>54.4</v>
      </c>
      <c r="AP25" s="19">
        <v>54.276563656437091</v>
      </c>
      <c r="AQ25" s="19">
        <v>55.466791909549471</v>
      </c>
      <c r="AR25" s="19">
        <v>53.534730719156798</v>
      </c>
      <c r="AS25" s="19">
        <v>52.621866853358142</v>
      </c>
      <c r="AT25" s="19">
        <v>52.787932565627713</v>
      </c>
      <c r="AU25" s="19">
        <v>56.002356375349905</v>
      </c>
      <c r="AV25" s="19">
        <v>54.673881751264453</v>
      </c>
      <c r="AW25" s="19">
        <v>52.761392410508179</v>
      </c>
      <c r="AX25" s="95">
        <f t="shared" si="10"/>
        <v>52.263985673348451</v>
      </c>
      <c r="AY25" s="95">
        <f t="shared" si="11"/>
        <v>52.01528230476859</v>
      </c>
      <c r="AZ25" s="95">
        <f t="shared" si="12"/>
        <v>51.890930620478656</v>
      </c>
      <c r="BA25" s="19">
        <v>51.766578936188722</v>
      </c>
      <c r="BB25" s="19">
        <v>52.882045123101996</v>
      </c>
      <c r="BC25" s="19">
        <v>51.826587393068301</v>
      </c>
      <c r="BD25" s="19">
        <v>50.841854381058852</v>
      </c>
      <c r="BE25" s="19">
        <v>52.926112281603622</v>
      </c>
      <c r="BF25" s="19">
        <v>55.227044927398453</v>
      </c>
      <c r="BG25" s="19">
        <v>54.406221135287758</v>
      </c>
      <c r="BH25" s="19">
        <v>52.457522692711677</v>
      </c>
      <c r="BI25" s="19">
        <v>52.112267422360162</v>
      </c>
      <c r="BJ25" s="19">
        <v>53.249673584176286</v>
      </c>
      <c r="BK25" s="67">
        <v>53.361670151513465</v>
      </c>
      <c r="BL25" s="19">
        <v>52.162119036221476</v>
      </c>
      <c r="BM25" s="19">
        <v>52.751760128026284</v>
      </c>
      <c r="BN25" s="19">
        <v>54.753477478150913</v>
      </c>
      <c r="BO25" s="19">
        <v>54.398182534408257</v>
      </c>
      <c r="BP25" s="19">
        <v>52.015554048513565</v>
      </c>
      <c r="BQ25" s="19">
        <v>42.750030338984679</v>
      </c>
      <c r="BR25" s="19">
        <v>50.686566904054921</v>
      </c>
      <c r="BS25" s="19">
        <v>51.708361447683529</v>
      </c>
      <c r="BT25" s="19">
        <v>54.317638020097888</v>
      </c>
      <c r="BU25" s="19">
        <v>52.363702172041556</v>
      </c>
      <c r="BV25" s="19">
        <v>55.005899122125982</v>
      </c>
      <c r="BW25" s="19">
        <v>57.972286608036825</v>
      </c>
      <c r="BX25" s="19">
        <v>55.478867974880131</v>
      </c>
      <c r="BY25" s="19">
        <v>56.00188384423511</v>
      </c>
      <c r="BZ25" s="19">
        <v>57.112541156204898</v>
      </c>
      <c r="CA25" s="19">
        <v>56.553709659893826</v>
      </c>
      <c r="CB25" s="19">
        <v>56.002401991219287</v>
      </c>
      <c r="CC25" s="19">
        <v>54.865830748249309</v>
      </c>
      <c r="CD25" s="19">
        <v>56.883431142156041</v>
      </c>
      <c r="CE25" s="19">
        <v>57.067316471265251</v>
      </c>
      <c r="CF25" s="19">
        <v>54.422313471773222</v>
      </c>
      <c r="CG25" s="19">
        <v>54.882478241576614</v>
      </c>
      <c r="CH25" s="19">
        <v>56.056669087584666</v>
      </c>
      <c r="CI25" s="19">
        <v>58.314525494045</v>
      </c>
      <c r="CJ25" s="19">
        <v>55.546022971939777</v>
      </c>
    </row>
    <row r="26" spans="1:88" ht="20.149999999999999" customHeight="1" x14ac:dyDescent="0.25">
      <c r="A26" s="12" t="s">
        <v>20</v>
      </c>
      <c r="B26" s="62">
        <v>79.733523620184585</v>
      </c>
      <c r="C26" s="62">
        <v>78.538216368522356</v>
      </c>
      <c r="D26" s="62">
        <v>78.252023737142792</v>
      </c>
      <c r="E26" s="62">
        <v>79.699880175455277</v>
      </c>
      <c r="F26" s="62">
        <v>80.210642855562625</v>
      </c>
      <c r="G26" s="62">
        <v>79.453370068386604</v>
      </c>
      <c r="H26" s="62">
        <v>77.945349223928588</v>
      </c>
      <c r="I26" s="62">
        <v>79.472935033367577</v>
      </c>
      <c r="J26" s="62">
        <v>80.787581706704742</v>
      </c>
      <c r="K26" s="62">
        <v>82.559182439716153</v>
      </c>
      <c r="L26" s="18">
        <v>81.58284573864924</v>
      </c>
      <c r="M26" s="18">
        <v>82.1847799111071</v>
      </c>
      <c r="N26" s="18">
        <v>81.200453638901365</v>
      </c>
      <c r="O26" s="18">
        <v>82.227010157564891</v>
      </c>
      <c r="P26" s="18">
        <v>81.818699493363482</v>
      </c>
      <c r="Q26" s="18">
        <v>81.68200443622392</v>
      </c>
      <c r="R26" s="95">
        <f t="shared" si="0"/>
        <v>81.560256052166224</v>
      </c>
      <c r="S26" s="18">
        <v>81.438507668108528</v>
      </c>
      <c r="T26" s="18">
        <v>80.01639817284088</v>
      </c>
      <c r="U26" s="18">
        <v>80.942313365818237</v>
      </c>
      <c r="V26" s="18">
        <v>80.176811740052827</v>
      </c>
      <c r="W26" s="18">
        <v>82.046779296058588</v>
      </c>
      <c r="X26" s="18">
        <v>81.076186013883316</v>
      </c>
      <c r="Y26" s="18">
        <v>80.817641267907163</v>
      </c>
      <c r="Z26" s="18">
        <v>80.082096931452668</v>
      </c>
      <c r="AA26" s="18">
        <v>80.315556870365427</v>
      </c>
      <c r="AB26" s="18">
        <v>81.026732601380374</v>
      </c>
      <c r="AC26" s="18">
        <v>81.797750294693643</v>
      </c>
      <c r="AD26" s="18">
        <v>80.90969967642944</v>
      </c>
      <c r="AE26" s="18">
        <v>81.492827180905209</v>
      </c>
      <c r="AF26" s="19">
        <v>81.018727416130147</v>
      </c>
      <c r="AG26" s="19">
        <v>82.014369633788959</v>
      </c>
      <c r="AH26" s="19">
        <v>81.62824420806821</v>
      </c>
      <c r="AI26" s="19">
        <v>80.374824199550204</v>
      </c>
      <c r="AJ26" s="19">
        <v>80.138690683614598</v>
      </c>
      <c r="AK26" s="19">
        <v>80.222240535283078</v>
      </c>
      <c r="AL26" s="19">
        <v>79.971602425570822</v>
      </c>
      <c r="AM26" s="19">
        <v>79.395268262107479</v>
      </c>
      <c r="AN26" s="19">
        <v>79.400000000000006</v>
      </c>
      <c r="AO26" s="19">
        <v>79.5</v>
      </c>
      <c r="AP26" s="19">
        <v>80.584137389292906</v>
      </c>
      <c r="AQ26" s="19">
        <v>80.438467680643001</v>
      </c>
      <c r="AR26" s="19">
        <v>79.25180106485881</v>
      </c>
      <c r="AS26" s="19">
        <v>79.718123835032188</v>
      </c>
      <c r="AT26" s="19">
        <v>80.166602725667218</v>
      </c>
      <c r="AU26" s="19">
        <v>79.874470769334607</v>
      </c>
      <c r="AV26" s="19">
        <v>78.707399057930388</v>
      </c>
      <c r="AW26" s="19">
        <v>79.320884730100545</v>
      </c>
      <c r="AX26" s="95">
        <f t="shared" si="10"/>
        <v>78.323906062700729</v>
      </c>
      <c r="AY26" s="95">
        <f t="shared" si="11"/>
        <v>77.825416729000835</v>
      </c>
      <c r="AZ26" s="95">
        <f t="shared" si="12"/>
        <v>77.576172062150874</v>
      </c>
      <c r="BA26" s="19">
        <v>77.326927395300928</v>
      </c>
      <c r="BB26" s="19">
        <v>77.407068974894372</v>
      </c>
      <c r="BC26" s="19">
        <v>78.069623434147815</v>
      </c>
      <c r="BD26" s="19">
        <v>76.8745407837648</v>
      </c>
      <c r="BE26" s="19">
        <v>75.935454255517229</v>
      </c>
      <c r="BF26" s="19">
        <v>75.523230792464958</v>
      </c>
      <c r="BG26" s="19">
        <v>77.373886376751827</v>
      </c>
      <c r="BH26" s="19">
        <v>76.687666201293723</v>
      </c>
      <c r="BI26" s="19">
        <v>75.98531108317772</v>
      </c>
      <c r="BJ26" s="19">
        <v>77.315042260227997</v>
      </c>
      <c r="BK26" s="67">
        <v>76.550068875196416</v>
      </c>
      <c r="BL26" s="19">
        <v>76.893993394794705</v>
      </c>
      <c r="BM26" s="19">
        <v>76.443631363499861</v>
      </c>
      <c r="BN26" s="19">
        <v>78.141937431365506</v>
      </c>
      <c r="BO26" s="19">
        <v>77.734750907625838</v>
      </c>
      <c r="BP26" s="19">
        <v>75.23139333553533</v>
      </c>
      <c r="BQ26" s="19">
        <v>70.994767535032182</v>
      </c>
      <c r="BR26" s="19">
        <v>74.206291044740837</v>
      </c>
      <c r="BS26" s="19">
        <v>73.883718198713339</v>
      </c>
      <c r="BT26" s="19">
        <v>76.283971533379315</v>
      </c>
      <c r="BU26" s="19">
        <v>75.124832269723314</v>
      </c>
      <c r="BV26" s="19">
        <v>76.964519152087973</v>
      </c>
      <c r="BW26" s="19">
        <v>77.072579456451891</v>
      </c>
      <c r="BX26" s="19">
        <v>75.865557399843809</v>
      </c>
      <c r="BY26" s="19">
        <v>77.331811480707728</v>
      </c>
      <c r="BZ26" s="19">
        <v>77.553356766843777</v>
      </c>
      <c r="CA26" s="19">
        <v>78.237206261883301</v>
      </c>
      <c r="CB26" s="19">
        <v>76.444972238943919</v>
      </c>
      <c r="CC26" s="19">
        <v>77.053061964164186</v>
      </c>
      <c r="CD26" s="19">
        <v>78.944257129174119</v>
      </c>
      <c r="CE26" s="19">
        <v>80.35696084849981</v>
      </c>
      <c r="CF26" s="19">
        <v>76.704642885376288</v>
      </c>
      <c r="CG26" s="19">
        <v>78.327330379074823</v>
      </c>
      <c r="CH26" s="19">
        <v>78.158289045231797</v>
      </c>
      <c r="CI26" s="19">
        <v>78.768915994422983</v>
      </c>
      <c r="CJ26" s="19">
        <v>75.572615048344574</v>
      </c>
    </row>
    <row r="27" spans="1:88" ht="20.149999999999999" customHeight="1" thickBot="1" x14ac:dyDescent="0.3">
      <c r="A27" s="14" t="s">
        <v>27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45"/>
      <c r="AY27" s="45"/>
      <c r="AZ27" s="45"/>
      <c r="BA27" s="41"/>
      <c r="BB27" s="16"/>
      <c r="BC27" s="16"/>
      <c r="BD27" s="16"/>
      <c r="BE27" s="16"/>
      <c r="BF27" s="16"/>
      <c r="BG27" s="16"/>
      <c r="BH27" s="16"/>
      <c r="BI27" s="16"/>
      <c r="BJ27" s="16"/>
      <c r="BK27" s="68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</row>
    <row r="28" spans="1:88" ht="20.149999999999999" customHeight="1" x14ac:dyDescent="0.25">
      <c r="A28" s="12" t="s">
        <v>28</v>
      </c>
      <c r="B28" s="61">
        <v>26.881086446850507</v>
      </c>
      <c r="C28" s="61">
        <v>27.504081078662189</v>
      </c>
      <c r="D28" s="61">
        <v>27.608231095228497</v>
      </c>
      <c r="E28" s="61">
        <v>24.952237157536086</v>
      </c>
      <c r="F28" s="61">
        <v>27.575612391042426</v>
      </c>
      <c r="G28" s="61">
        <v>28.17506835183876</v>
      </c>
      <c r="H28" s="61">
        <v>27.267136140920421</v>
      </c>
      <c r="I28" s="61">
        <v>26.884682549228472</v>
      </c>
      <c r="J28" s="61">
        <v>28.121281224704898</v>
      </c>
      <c r="K28" s="61">
        <v>28.203533409601388</v>
      </c>
      <c r="L28" s="13">
        <v>27.12937410595806</v>
      </c>
      <c r="M28" s="13">
        <v>27.053443770091945</v>
      </c>
      <c r="N28" s="13">
        <v>28.098996179627893</v>
      </c>
      <c r="O28" s="13">
        <v>27.879201295022867</v>
      </c>
      <c r="P28" s="13">
        <v>27.892535275469761</v>
      </c>
      <c r="Q28" s="13">
        <v>27.447939246313013</v>
      </c>
      <c r="R28" s="95">
        <f t="shared" si="0"/>
        <v>27.202138302314864</v>
      </c>
      <c r="S28" s="13">
        <v>26.956337358316716</v>
      </c>
      <c r="T28" s="13">
        <v>27.370957159824439</v>
      </c>
      <c r="U28" s="13">
        <v>26.127518319892733</v>
      </c>
      <c r="V28" s="13">
        <v>27.238475957646507</v>
      </c>
      <c r="W28" s="13">
        <v>27.345783846627302</v>
      </c>
      <c r="X28" s="13">
        <v>27.963551625729909</v>
      </c>
      <c r="Y28" s="13">
        <v>27.345654262044189</v>
      </c>
      <c r="Z28" s="13">
        <v>27.122404376941923</v>
      </c>
      <c r="AA28" s="13">
        <v>27.492300100972571</v>
      </c>
      <c r="AB28" s="13">
        <v>27.081690810766982</v>
      </c>
      <c r="AC28" s="13">
        <v>27.114915919905023</v>
      </c>
      <c r="AD28" s="13">
        <v>27.753004714539269</v>
      </c>
      <c r="AE28" s="13">
        <v>26.666158552418999</v>
      </c>
      <c r="AF28" s="13">
        <v>27.532408304074401</v>
      </c>
      <c r="AG28" s="13">
        <v>27.823455552093478</v>
      </c>
      <c r="AH28" s="13">
        <v>28.121500670964465</v>
      </c>
      <c r="AI28" s="13">
        <v>27.00948797765232</v>
      </c>
      <c r="AJ28" s="13">
        <v>26.957733080102297</v>
      </c>
      <c r="AK28" s="13">
        <v>27.620553153696992</v>
      </c>
      <c r="AL28" s="13">
        <v>28.665816758163061</v>
      </c>
      <c r="AM28" s="13">
        <v>27.860139253280618</v>
      </c>
      <c r="AN28" s="13">
        <v>27.153452601834623</v>
      </c>
      <c r="AO28" s="13">
        <v>27.646696870214484</v>
      </c>
      <c r="AP28" s="13">
        <v>27.778006091531921</v>
      </c>
      <c r="AQ28" s="13">
        <v>27.119662242966321</v>
      </c>
      <c r="AR28" s="13">
        <v>26.756401212809163</v>
      </c>
      <c r="AS28" s="13">
        <v>25.854309468907712</v>
      </c>
      <c r="AT28" s="13">
        <v>25.804250364052695</v>
      </c>
      <c r="AU28" s="13">
        <v>26.393736449641942</v>
      </c>
      <c r="AV28" s="13">
        <v>26.322435573286601</v>
      </c>
      <c r="AW28" s="13">
        <v>26.666693520544708</v>
      </c>
      <c r="AX28" s="95">
        <f t="shared" ref="AX28:AX32" si="13">+(AW28+BA28)/2</f>
        <v>27.061303233907534</v>
      </c>
      <c r="AY28" s="95">
        <f t="shared" ref="AY28:AY32" si="14">+(AX28+BA28)/2</f>
        <v>27.258608090588947</v>
      </c>
      <c r="AZ28" s="95">
        <f t="shared" ref="AZ28:AZ32" si="15">+(AY28+BA28)/2</f>
        <v>27.357260518929653</v>
      </c>
      <c r="BA28" s="42">
        <v>27.45591294727036</v>
      </c>
      <c r="BB28" s="13">
        <v>28.045785562468001</v>
      </c>
      <c r="BC28" s="13">
        <v>26.84366450330381</v>
      </c>
      <c r="BD28" s="13">
        <v>25.967810909727852</v>
      </c>
      <c r="BE28" s="13">
        <v>26.84366450330381</v>
      </c>
      <c r="BF28" s="13">
        <v>28.488590093113874</v>
      </c>
      <c r="BG28" s="13">
        <v>29.674943343751544</v>
      </c>
      <c r="BH28" s="13">
        <v>29.706460531521184</v>
      </c>
      <c r="BI28" s="13">
        <v>26.699868545943144</v>
      </c>
      <c r="BJ28" s="13">
        <v>27.545132999809319</v>
      </c>
      <c r="BK28" s="61">
        <v>26.625389304922297</v>
      </c>
      <c r="BL28" s="13">
        <v>27.799662152844174</v>
      </c>
      <c r="BM28" s="13">
        <v>26.423297109293959</v>
      </c>
      <c r="BN28" s="13">
        <v>26.869585275494607</v>
      </c>
      <c r="BO28" s="13">
        <v>26.985170477177984</v>
      </c>
      <c r="BP28" s="13">
        <v>28.143058474176204</v>
      </c>
      <c r="BQ28" s="13">
        <v>18.208264303464823</v>
      </c>
      <c r="BR28" s="13">
        <v>21.088486010492392</v>
      </c>
      <c r="BS28" s="13">
        <v>23.476770284906166</v>
      </c>
      <c r="BT28" s="13">
        <v>27.604233508949577</v>
      </c>
      <c r="BU28" s="13">
        <v>27.155287165600576</v>
      </c>
      <c r="BV28" s="13">
        <v>27.637672775995025</v>
      </c>
      <c r="BW28" s="13">
        <v>27.859158739256507</v>
      </c>
      <c r="BX28" s="13">
        <v>28.291025942479671</v>
      </c>
      <c r="BY28" s="13">
        <v>29.835666097358391</v>
      </c>
      <c r="BZ28" s="13">
        <v>31.25334522586785</v>
      </c>
      <c r="CA28" s="13">
        <v>30.191823428282007</v>
      </c>
      <c r="CB28" s="13">
        <v>30.670593282240954</v>
      </c>
      <c r="CC28" s="13">
        <v>30.23971299113904</v>
      </c>
      <c r="CD28" s="13">
        <v>30.424806104540465</v>
      </c>
      <c r="CE28" s="13">
        <v>31.17333768746175</v>
      </c>
      <c r="CF28" s="13">
        <v>31.111010509788489</v>
      </c>
      <c r="CG28" s="13">
        <v>31.940366354159128</v>
      </c>
      <c r="CH28" s="13">
        <v>31.343480078426296</v>
      </c>
      <c r="CI28" s="13">
        <v>30.508036636347256</v>
      </c>
      <c r="CJ28" s="13">
        <v>29.03062271658866</v>
      </c>
    </row>
    <row r="29" spans="1:88" ht="20.149999999999999" customHeight="1" x14ac:dyDescent="0.25">
      <c r="A29" s="12" t="s">
        <v>29</v>
      </c>
      <c r="B29" s="61">
        <v>35.364570852085762</v>
      </c>
      <c r="C29" s="61">
        <v>34.206975056027808</v>
      </c>
      <c r="D29" s="61">
        <v>35.508554672238667</v>
      </c>
      <c r="E29" s="61">
        <v>35.98382503447273</v>
      </c>
      <c r="F29" s="61">
        <v>36.718558804056542</v>
      </c>
      <c r="G29" s="61">
        <v>36.535363629886795</v>
      </c>
      <c r="H29" s="61">
        <v>36.190975201431726</v>
      </c>
      <c r="I29" s="61">
        <v>35.96883940754487</v>
      </c>
      <c r="J29" s="61">
        <v>37.32417899683621</v>
      </c>
      <c r="K29" s="61">
        <v>36.838283453537016</v>
      </c>
      <c r="L29" s="13">
        <v>36.851435017939643</v>
      </c>
      <c r="M29" s="13">
        <v>37.893834373027879</v>
      </c>
      <c r="N29" s="13">
        <v>37.486176786661353</v>
      </c>
      <c r="O29" s="13">
        <v>38.22552670458181</v>
      </c>
      <c r="P29" s="13">
        <v>37.859927002574764</v>
      </c>
      <c r="Q29" s="13">
        <v>37.710677348104717</v>
      </c>
      <c r="R29" s="95">
        <f t="shared" si="0"/>
        <v>37.314129982599823</v>
      </c>
      <c r="S29" s="13">
        <v>36.917582617094936</v>
      </c>
      <c r="T29" s="13">
        <v>37.086842046009757</v>
      </c>
      <c r="U29" s="13">
        <v>36.888294961987235</v>
      </c>
      <c r="V29" s="13">
        <v>37.105789821471511</v>
      </c>
      <c r="W29" s="13">
        <v>37.277485411760068</v>
      </c>
      <c r="X29" s="13">
        <v>37.186004137643067</v>
      </c>
      <c r="Y29" s="13">
        <v>37.114561395839914</v>
      </c>
      <c r="Z29" s="13">
        <v>36.438905193975074</v>
      </c>
      <c r="AA29" s="13">
        <v>35.880592542212042</v>
      </c>
      <c r="AB29" s="13">
        <v>37.009298499464194</v>
      </c>
      <c r="AC29" s="13">
        <v>36.255680853005259</v>
      </c>
      <c r="AD29" s="13">
        <v>36.277951546004068</v>
      </c>
      <c r="AE29" s="13">
        <v>36.539759032685481</v>
      </c>
      <c r="AF29" s="13">
        <v>36.428217278425095</v>
      </c>
      <c r="AG29" s="13">
        <v>37.586170059457793</v>
      </c>
      <c r="AH29" s="13">
        <v>37.241605150972028</v>
      </c>
      <c r="AI29" s="13">
        <v>37.709724761193648</v>
      </c>
      <c r="AJ29" s="13">
        <v>36.635640638758346</v>
      </c>
      <c r="AK29" s="13">
        <v>38.038843791105563</v>
      </c>
      <c r="AL29" s="13">
        <v>37.932577462946512</v>
      </c>
      <c r="AM29" s="13">
        <v>37.768976982130745</v>
      </c>
      <c r="AN29" s="13">
        <v>36.72879192637199</v>
      </c>
      <c r="AO29" s="13">
        <v>39.438769596812463</v>
      </c>
      <c r="AP29" s="13">
        <v>37.948861151088067</v>
      </c>
      <c r="AQ29" s="13">
        <v>37.418550038425543</v>
      </c>
      <c r="AR29" s="13">
        <v>37.900577323133504</v>
      </c>
      <c r="AS29" s="13">
        <v>37.747607957404462</v>
      </c>
      <c r="AT29" s="13">
        <v>36.689307574216954</v>
      </c>
      <c r="AU29" s="13">
        <v>37.992853870303712</v>
      </c>
      <c r="AV29" s="13">
        <v>37.088901719039548</v>
      </c>
      <c r="AW29" s="13">
        <v>37.501816026038092</v>
      </c>
      <c r="AX29" s="95">
        <f t="shared" si="13"/>
        <v>38.01038667196741</v>
      </c>
      <c r="AY29" s="95">
        <f t="shared" si="14"/>
        <v>38.264671994932066</v>
      </c>
      <c r="AZ29" s="95">
        <f t="shared" si="15"/>
        <v>38.391814656414397</v>
      </c>
      <c r="BA29" s="42">
        <v>38.518957317896721</v>
      </c>
      <c r="BB29" s="13">
        <v>37.365463650605328</v>
      </c>
      <c r="BC29" s="13">
        <v>35.89663238579687</v>
      </c>
      <c r="BD29" s="13">
        <v>35.373408306626224</v>
      </c>
      <c r="BE29" s="13">
        <v>35.89663238579687</v>
      </c>
      <c r="BF29" s="13">
        <v>38.497713260153745</v>
      </c>
      <c r="BG29" s="13">
        <v>39.37589125888509</v>
      </c>
      <c r="BH29" s="13">
        <v>37.064465384866615</v>
      </c>
      <c r="BI29" s="13">
        <v>37.351143118869238</v>
      </c>
      <c r="BJ29" s="13">
        <v>36.41087135606282</v>
      </c>
      <c r="BK29" s="61">
        <v>36.456033201583097</v>
      </c>
      <c r="BL29" s="13">
        <v>36.89254825103319</v>
      </c>
      <c r="BM29" s="13">
        <v>37.108642289909319</v>
      </c>
      <c r="BN29" s="13">
        <v>37.945529062433501</v>
      </c>
      <c r="BO29" s="13">
        <v>37.871664799549684</v>
      </c>
      <c r="BP29" s="13">
        <v>38.842764646476489</v>
      </c>
      <c r="BQ29" s="13">
        <v>28.708589811827611</v>
      </c>
      <c r="BR29" s="13">
        <v>33.876989064594113</v>
      </c>
      <c r="BS29" s="13">
        <v>35.914658633131893</v>
      </c>
      <c r="BT29" s="13">
        <v>38.693518896591314</v>
      </c>
      <c r="BU29" s="13">
        <v>39.947761568331039</v>
      </c>
      <c r="BV29" s="13">
        <v>38.404398095392779</v>
      </c>
      <c r="BW29" s="13">
        <v>38.515424415223343</v>
      </c>
      <c r="BX29" s="13">
        <v>39.232402787045032</v>
      </c>
      <c r="BY29" s="13">
        <v>41.126423468286426</v>
      </c>
      <c r="BZ29" s="13">
        <v>38.434922682106681</v>
      </c>
      <c r="CA29" s="13">
        <v>39.751724318213803</v>
      </c>
      <c r="CB29" s="13">
        <v>39.8708046781286</v>
      </c>
      <c r="CC29" s="13">
        <v>39.823439027544524</v>
      </c>
      <c r="CD29" s="13">
        <v>38.89775893359235</v>
      </c>
      <c r="CE29" s="13">
        <v>41.28270416194443</v>
      </c>
      <c r="CF29" s="13">
        <v>39.044832541345968</v>
      </c>
      <c r="CG29" s="13">
        <v>38.88150267324189</v>
      </c>
      <c r="CH29" s="13">
        <v>39.830135444477058</v>
      </c>
      <c r="CI29" s="13">
        <v>40.05565575483601</v>
      </c>
      <c r="CJ29" s="13">
        <v>38.271405022348937</v>
      </c>
    </row>
    <row r="30" spans="1:88" ht="20.149999999999999" customHeight="1" x14ac:dyDescent="0.25">
      <c r="A30" s="12" t="s">
        <v>30</v>
      </c>
      <c r="B30" s="61">
        <v>39.817173783426981</v>
      </c>
      <c r="C30" s="61">
        <v>41.479335685830506</v>
      </c>
      <c r="D30" s="61">
        <v>41.211502205370543</v>
      </c>
      <c r="E30" s="61">
        <v>42.12129632978106</v>
      </c>
      <c r="F30" s="61">
        <v>42.436007174433627</v>
      </c>
      <c r="G30" s="61">
        <v>43.009012644228925</v>
      </c>
      <c r="H30" s="61">
        <v>41.46216505794667</v>
      </c>
      <c r="I30" s="61">
        <v>41.413771627529016</v>
      </c>
      <c r="J30" s="61">
        <v>43.178405017032631</v>
      </c>
      <c r="K30" s="61">
        <v>43.661762691496179</v>
      </c>
      <c r="L30" s="13">
        <v>42.412407556191958</v>
      </c>
      <c r="M30" s="13">
        <v>43.142488316527782</v>
      </c>
      <c r="N30" s="13">
        <v>42.608431200474044</v>
      </c>
      <c r="O30" s="13">
        <v>44.201098758795709</v>
      </c>
      <c r="P30" s="13">
        <v>42.701001442162813</v>
      </c>
      <c r="Q30" s="13">
        <v>42.508045927764634</v>
      </c>
      <c r="R30" s="95">
        <f t="shared" si="0"/>
        <v>42.904378461797975</v>
      </c>
      <c r="S30" s="13">
        <v>43.300710995831324</v>
      </c>
      <c r="T30" s="13">
        <v>43.042304062851613</v>
      </c>
      <c r="U30" s="13">
        <v>43.907064526754567</v>
      </c>
      <c r="V30" s="13">
        <v>42.980186311044768</v>
      </c>
      <c r="W30" s="13">
        <v>44.740821420427942</v>
      </c>
      <c r="X30" s="13">
        <v>43.970465784480083</v>
      </c>
      <c r="Y30" s="13">
        <v>41.70824894854718</v>
      </c>
      <c r="Z30" s="13">
        <v>43.89654462750179</v>
      </c>
      <c r="AA30" s="13">
        <v>43.35847505527714</v>
      </c>
      <c r="AB30" s="13">
        <v>44.435270229773799</v>
      </c>
      <c r="AC30" s="13">
        <v>43.714083480576946</v>
      </c>
      <c r="AD30" s="13">
        <v>44.016898425288595</v>
      </c>
      <c r="AE30" s="13">
        <v>43.768820328596334</v>
      </c>
      <c r="AF30" s="13">
        <v>45.318516386949334</v>
      </c>
      <c r="AG30" s="13">
        <v>44.896288908718702</v>
      </c>
      <c r="AH30" s="13">
        <v>45.891373933026919</v>
      </c>
      <c r="AI30" s="13">
        <v>44.674610445248973</v>
      </c>
      <c r="AJ30" s="13">
        <v>43.999246893174295</v>
      </c>
      <c r="AK30" s="13">
        <v>43.522987447324866</v>
      </c>
      <c r="AL30" s="13">
        <v>44.485148987848142</v>
      </c>
      <c r="AM30" s="13">
        <v>43.613782677476856</v>
      </c>
      <c r="AN30" s="13">
        <v>44.182148269153963</v>
      </c>
      <c r="AO30" s="13">
        <v>42.157990258617026</v>
      </c>
      <c r="AP30" s="13">
        <v>44.585988722291383</v>
      </c>
      <c r="AQ30" s="13">
        <v>42.743714056018298</v>
      </c>
      <c r="AR30" s="13">
        <v>42.952451302331987</v>
      </c>
      <c r="AS30" s="13">
        <v>41.965195189198354</v>
      </c>
      <c r="AT30" s="13">
        <v>44.01928420472089</v>
      </c>
      <c r="AU30" s="13">
        <v>43.32786884199249</v>
      </c>
      <c r="AV30" s="13">
        <v>42.925522978676035</v>
      </c>
      <c r="AW30" s="13">
        <v>41.392812437459057</v>
      </c>
      <c r="AX30" s="95">
        <f t="shared" si="13"/>
        <v>41.477838132068257</v>
      </c>
      <c r="AY30" s="95">
        <f t="shared" si="14"/>
        <v>41.52035097937285</v>
      </c>
      <c r="AZ30" s="95">
        <f t="shared" si="15"/>
        <v>41.541607403025154</v>
      </c>
      <c r="BA30" s="42">
        <v>41.56286382667745</v>
      </c>
      <c r="BB30" s="13">
        <v>41.887934044567153</v>
      </c>
      <c r="BC30" s="13">
        <v>40.264262645113128</v>
      </c>
      <c r="BD30" s="13">
        <v>40.81822233898415</v>
      </c>
      <c r="BE30" s="13">
        <v>40.264262645113128</v>
      </c>
      <c r="BF30" s="13">
        <v>45.514832660240771</v>
      </c>
      <c r="BG30" s="13">
        <v>44.176214831022541</v>
      </c>
      <c r="BH30" s="13">
        <v>44.805762060914098</v>
      </c>
      <c r="BI30" s="13">
        <v>41.181445918292695</v>
      </c>
      <c r="BJ30" s="13">
        <v>44.122833356963149</v>
      </c>
      <c r="BK30" s="61">
        <v>43.279352945543998</v>
      </c>
      <c r="BL30" s="13">
        <v>42.420998288906098</v>
      </c>
      <c r="BM30" s="13">
        <v>43.579281936379509</v>
      </c>
      <c r="BN30" s="13">
        <v>45.125478991630388</v>
      </c>
      <c r="BO30" s="13">
        <v>45.124543489525273</v>
      </c>
      <c r="BP30" s="13">
        <v>45.522403250151882</v>
      </c>
      <c r="BQ30" s="13">
        <v>35.013838427730143</v>
      </c>
      <c r="BR30" s="13">
        <v>39.000427077674821</v>
      </c>
      <c r="BS30" s="13">
        <v>41.936416662535727</v>
      </c>
      <c r="BT30" s="13">
        <v>43.246476155828603</v>
      </c>
      <c r="BU30" s="13">
        <v>42.407282434955299</v>
      </c>
      <c r="BV30" s="13">
        <v>42.035717489509352</v>
      </c>
      <c r="BW30" s="13">
        <v>44.741024393621942</v>
      </c>
      <c r="BX30" s="13">
        <v>46.860446079677395</v>
      </c>
      <c r="BY30" s="13">
        <v>45.636139963633724</v>
      </c>
      <c r="BZ30" s="13">
        <v>45.899195603635981</v>
      </c>
      <c r="CA30" s="13">
        <v>45.017943550055719</v>
      </c>
      <c r="CB30" s="13">
        <v>47.279363270339196</v>
      </c>
      <c r="CC30" s="13">
        <v>44.920013216606144</v>
      </c>
      <c r="CD30" s="13">
        <v>48.244878391027839</v>
      </c>
      <c r="CE30" s="13">
        <v>44.518198052622793</v>
      </c>
      <c r="CF30" s="13">
        <v>44.652290401480613</v>
      </c>
      <c r="CG30" s="13">
        <v>44.326788319320606</v>
      </c>
      <c r="CH30" s="13">
        <v>45.402366168684814</v>
      </c>
      <c r="CI30" s="13">
        <v>45.910867454005853</v>
      </c>
      <c r="CJ30" s="13">
        <v>46.866458548199688</v>
      </c>
    </row>
    <row r="31" spans="1:88" ht="20.149999999999999" customHeight="1" x14ac:dyDescent="0.25">
      <c r="A31" s="12" t="s">
        <v>31</v>
      </c>
      <c r="B31" s="61">
        <v>47.44020005037995</v>
      </c>
      <c r="C31" s="61">
        <v>50.213293583206841</v>
      </c>
      <c r="D31" s="61">
        <v>48.352854028251087</v>
      </c>
      <c r="E31" s="61">
        <v>50.838186427392863</v>
      </c>
      <c r="F31" s="61">
        <v>48.928591882670361</v>
      </c>
      <c r="G31" s="61">
        <v>50.858165628675778</v>
      </c>
      <c r="H31" s="61">
        <v>49.760415702555832</v>
      </c>
      <c r="I31" s="61">
        <v>51.459205291433939</v>
      </c>
      <c r="J31" s="61">
        <v>49.582948831867689</v>
      </c>
      <c r="K31" s="61">
        <v>51.257475749211757</v>
      </c>
      <c r="L31" s="13">
        <v>50.140283438963692</v>
      </c>
      <c r="M31" s="13">
        <v>52.806967128961325</v>
      </c>
      <c r="N31" s="13">
        <v>50.692274587022915</v>
      </c>
      <c r="O31" s="13">
        <v>52.399472676168443</v>
      </c>
      <c r="P31" s="13">
        <v>51.906581251353558</v>
      </c>
      <c r="Q31" s="13">
        <v>53.853907960584223</v>
      </c>
      <c r="R31" s="95">
        <f t="shared" si="0"/>
        <v>53.995823939581356</v>
      </c>
      <c r="S31" s="13">
        <v>54.13773991857849</v>
      </c>
      <c r="T31" s="13">
        <v>52.8090842956953</v>
      </c>
      <c r="U31" s="13">
        <v>55.369770042129687</v>
      </c>
      <c r="V31" s="13">
        <v>54.156752577538349</v>
      </c>
      <c r="W31" s="13">
        <v>53.767187414934185</v>
      </c>
      <c r="X31" s="13">
        <v>54.002420935100858</v>
      </c>
      <c r="Y31" s="13">
        <v>54.666285957694186</v>
      </c>
      <c r="Z31" s="13">
        <v>52.977449206528703</v>
      </c>
      <c r="AA31" s="13">
        <v>54.425400916076839</v>
      </c>
      <c r="AB31" s="13">
        <v>52.736299794827559</v>
      </c>
      <c r="AC31" s="13">
        <v>53.362013253910277</v>
      </c>
      <c r="AD31" s="13">
        <v>52.923441871733843</v>
      </c>
      <c r="AE31" s="13">
        <v>54.210484288881233</v>
      </c>
      <c r="AF31" s="13">
        <v>52.649706052207321</v>
      </c>
      <c r="AG31" s="13">
        <v>55.361173882208639</v>
      </c>
      <c r="AH31" s="13">
        <v>54.626992484662331</v>
      </c>
      <c r="AI31" s="13">
        <v>54.626119145837912</v>
      </c>
      <c r="AJ31" s="13">
        <v>54.442003391159396</v>
      </c>
      <c r="AK31" s="13">
        <v>53.966155322218768</v>
      </c>
      <c r="AL31" s="13">
        <v>54.112352586524729</v>
      </c>
      <c r="AM31" s="13">
        <v>55.680440974285702</v>
      </c>
      <c r="AN31" s="13">
        <v>53.138705932322004</v>
      </c>
      <c r="AO31" s="13">
        <v>55.456756993289268</v>
      </c>
      <c r="AP31" s="13">
        <v>54.437271525239176</v>
      </c>
      <c r="AQ31" s="13">
        <v>56.229252970727629</v>
      </c>
      <c r="AR31" s="13">
        <v>53.227529591366228</v>
      </c>
      <c r="AS31" s="13">
        <v>52.853423039856665</v>
      </c>
      <c r="AT31" s="13">
        <v>52.380396673230869</v>
      </c>
      <c r="AU31" s="13">
        <v>54.85811389340477</v>
      </c>
      <c r="AV31" s="13">
        <v>51.78254318370621</v>
      </c>
      <c r="AW31" s="13">
        <v>52.974716019967261</v>
      </c>
      <c r="AX31" s="95">
        <f t="shared" si="13"/>
        <v>53.170354737427438</v>
      </c>
      <c r="AY31" s="95">
        <f t="shared" si="14"/>
        <v>53.268174096157523</v>
      </c>
      <c r="AZ31" s="95">
        <f t="shared" si="15"/>
        <v>53.317083775522569</v>
      </c>
      <c r="BA31" s="42">
        <v>53.365993454887615</v>
      </c>
      <c r="BB31" s="13">
        <v>53.997846873675691</v>
      </c>
      <c r="BC31" s="13">
        <v>50.462872949181545</v>
      </c>
      <c r="BD31" s="13">
        <v>49.41660408774576</v>
      </c>
      <c r="BE31" s="13">
        <v>50.462872949181545</v>
      </c>
      <c r="BF31" s="13">
        <v>53.196498763492293</v>
      </c>
      <c r="BG31" s="13">
        <v>52.578050820507883</v>
      </c>
      <c r="BH31" s="13">
        <v>52.423502585371438</v>
      </c>
      <c r="BI31" s="13">
        <v>51.40008192567862</v>
      </c>
      <c r="BJ31" s="13">
        <v>51.042301388533097</v>
      </c>
      <c r="BK31" s="61">
        <v>51.499067253177955</v>
      </c>
      <c r="BL31" s="13">
        <v>52.382778011978715</v>
      </c>
      <c r="BM31" s="13">
        <v>53.292101785149192</v>
      </c>
      <c r="BN31" s="13">
        <v>51.931770898865992</v>
      </c>
      <c r="BO31" s="13">
        <v>52.72756243030932</v>
      </c>
      <c r="BP31" s="13">
        <v>47.791853950362224</v>
      </c>
      <c r="BQ31" s="13">
        <v>42.528002651012955</v>
      </c>
      <c r="BR31" s="13">
        <v>46.405440169007107</v>
      </c>
      <c r="BS31" s="13">
        <v>49.841549925484351</v>
      </c>
      <c r="BT31" s="13">
        <v>47.477142009869468</v>
      </c>
      <c r="BU31" s="13">
        <v>50.24120285182412</v>
      </c>
      <c r="BV31" s="13">
        <v>51.955889897373012</v>
      </c>
      <c r="BW31" s="13">
        <v>53.733581041516132</v>
      </c>
      <c r="BX31" s="13">
        <v>53.038872277505078</v>
      </c>
      <c r="BY31" s="13">
        <v>54.203902284600467</v>
      </c>
      <c r="BZ31" s="13">
        <v>53.849172217715477</v>
      </c>
      <c r="CA31" s="13">
        <v>56.704620187830976</v>
      </c>
      <c r="CB31" s="13">
        <v>55.062617905909271</v>
      </c>
      <c r="CC31" s="13">
        <v>55.756173027092323</v>
      </c>
      <c r="CD31" s="13">
        <v>57.625749699327066</v>
      </c>
      <c r="CE31" s="13">
        <v>58.127053911088353</v>
      </c>
      <c r="CF31" s="13">
        <v>53.051657823467082</v>
      </c>
      <c r="CG31" s="13">
        <v>53.509875988006328</v>
      </c>
      <c r="CH31" s="13">
        <v>55.60585854078974</v>
      </c>
      <c r="CI31" s="13">
        <v>58.928635485827975</v>
      </c>
      <c r="CJ31" s="13">
        <v>56.823143393602415</v>
      </c>
    </row>
    <row r="32" spans="1:88" ht="20.149999999999999" customHeight="1" thickBot="1" x14ac:dyDescent="0.3">
      <c r="A32" s="20" t="s">
        <v>32</v>
      </c>
      <c r="B32" s="63">
        <v>57.933432754316541</v>
      </c>
      <c r="C32" s="63">
        <v>60.379015845396779</v>
      </c>
      <c r="D32" s="63">
        <v>59.045865622623808</v>
      </c>
      <c r="E32" s="63">
        <v>63.907011480008123</v>
      </c>
      <c r="F32" s="63">
        <v>61.582497149427141</v>
      </c>
      <c r="G32" s="63">
        <v>61.270018195678631</v>
      </c>
      <c r="H32" s="63">
        <v>60.635071023479981</v>
      </c>
      <c r="I32" s="63">
        <v>61.863754728372044</v>
      </c>
      <c r="J32" s="63">
        <v>64.340765960532181</v>
      </c>
      <c r="K32" s="63">
        <v>65.001142883411845</v>
      </c>
      <c r="L32" s="21">
        <v>65.483547930549705</v>
      </c>
      <c r="M32" s="21">
        <v>65.379592330896557</v>
      </c>
      <c r="N32" s="21">
        <v>65.845439287385858</v>
      </c>
      <c r="O32" s="21">
        <v>65.628889874957935</v>
      </c>
      <c r="P32" s="21">
        <v>64.962182996549046</v>
      </c>
      <c r="Q32" s="21">
        <v>67.95993826064587</v>
      </c>
      <c r="R32" s="95">
        <f t="shared" si="0"/>
        <v>67.272387693023674</v>
      </c>
      <c r="S32" s="21">
        <v>66.584837125401478</v>
      </c>
      <c r="T32" s="21">
        <v>64.554481950120817</v>
      </c>
      <c r="U32" s="21">
        <v>65.658251207350119</v>
      </c>
      <c r="V32" s="21">
        <v>65.04422294060241</v>
      </c>
      <c r="W32" s="21">
        <v>68.189337617925858</v>
      </c>
      <c r="X32" s="21">
        <v>66.144068542660975</v>
      </c>
      <c r="Y32" s="21">
        <v>66.7273336688108</v>
      </c>
      <c r="Z32" s="21">
        <v>65.479914979703395</v>
      </c>
      <c r="AA32" s="21">
        <v>68.786327765449954</v>
      </c>
      <c r="AB32" s="21">
        <v>66.155280548451998</v>
      </c>
      <c r="AC32" s="21">
        <v>68.782543642645393</v>
      </c>
      <c r="AD32" s="21">
        <v>68.496915128807672</v>
      </c>
      <c r="AE32" s="21">
        <v>69.227351628679969</v>
      </c>
      <c r="AF32" s="21">
        <v>67.403955469340502</v>
      </c>
      <c r="AG32" s="21">
        <v>68.586418478609559</v>
      </c>
      <c r="AH32" s="21">
        <v>67.438736730775489</v>
      </c>
      <c r="AI32" s="21">
        <v>69.596793105032617</v>
      </c>
      <c r="AJ32" s="21">
        <v>67.88935018920678</v>
      </c>
      <c r="AK32" s="21">
        <v>69.572238163667649</v>
      </c>
      <c r="AL32" s="21">
        <v>68.235995142244889</v>
      </c>
      <c r="AM32" s="21">
        <v>70.956629267535249</v>
      </c>
      <c r="AN32" s="21">
        <v>68.63109755098526</v>
      </c>
      <c r="AO32" s="21">
        <v>69.828905437615759</v>
      </c>
      <c r="AP32" s="21">
        <v>67.880187780794742</v>
      </c>
      <c r="AQ32" s="21">
        <v>70.428335104650941</v>
      </c>
      <c r="AR32" s="21">
        <v>66.315906444057362</v>
      </c>
      <c r="AS32" s="21">
        <v>67.327800067379258</v>
      </c>
      <c r="AT32" s="21">
        <v>66.716957339248111</v>
      </c>
      <c r="AU32" s="21">
        <v>67.689605110422519</v>
      </c>
      <c r="AV32" s="21">
        <v>67.307389357964524</v>
      </c>
      <c r="AW32" s="21">
        <v>67.369592387453253</v>
      </c>
      <c r="AX32" s="95">
        <f t="shared" si="13"/>
        <v>66.034943090249598</v>
      </c>
      <c r="AY32" s="95">
        <f t="shared" si="14"/>
        <v>65.367618441647778</v>
      </c>
      <c r="AZ32" s="95">
        <f t="shared" si="15"/>
        <v>65.033956117346861</v>
      </c>
      <c r="BA32" s="43">
        <v>64.700293793045944</v>
      </c>
      <c r="BB32" s="21">
        <v>67.2818803784984</v>
      </c>
      <c r="BC32" s="21">
        <v>66.193355241681772</v>
      </c>
      <c r="BD32" s="21">
        <v>62.764203921928122</v>
      </c>
      <c r="BE32" s="21">
        <v>66.193355241681772</v>
      </c>
      <c r="BF32" s="21">
        <v>62.415787452646775</v>
      </c>
      <c r="BG32" s="21">
        <v>66.65655111530225</v>
      </c>
      <c r="BH32" s="21">
        <v>63.108428289782594</v>
      </c>
      <c r="BI32" s="21">
        <v>62.606826516127065</v>
      </c>
      <c r="BJ32" s="21">
        <v>60.500562233520419</v>
      </c>
      <c r="BK32" s="63">
        <v>63.937238431267183</v>
      </c>
      <c r="BL32" s="21">
        <v>63.765521028706537</v>
      </c>
      <c r="BM32" s="21">
        <v>65.660797281949968</v>
      </c>
      <c r="BN32" s="21">
        <v>63.065858564687908</v>
      </c>
      <c r="BO32" s="21">
        <v>65.627889145175899</v>
      </c>
      <c r="BP32" s="21">
        <v>61.983061374424594</v>
      </c>
      <c r="BQ32" s="21">
        <v>60.506562437079268</v>
      </c>
      <c r="BR32" s="21">
        <v>60.28107236168222</v>
      </c>
      <c r="BS32" s="21">
        <v>62.455268712580413</v>
      </c>
      <c r="BT32" s="21">
        <v>62.739684914175967</v>
      </c>
      <c r="BU32" s="21">
        <v>62.089767070061122</v>
      </c>
      <c r="BV32" s="21">
        <v>64.041975142627322</v>
      </c>
      <c r="BW32" s="21">
        <v>65.774059702332721</v>
      </c>
      <c r="BX32" s="21">
        <v>64.34174214543971</v>
      </c>
      <c r="BY32" s="21">
        <v>67.325495914336372</v>
      </c>
      <c r="BZ32" s="21">
        <v>66.945279678475629</v>
      </c>
      <c r="CA32" s="21">
        <v>68.489989675524924</v>
      </c>
      <c r="CB32" s="21">
        <v>70.116742685320077</v>
      </c>
      <c r="CC32" s="21">
        <v>68.654982109950652</v>
      </c>
      <c r="CD32" s="21">
        <v>69.333130329650373</v>
      </c>
      <c r="CE32" s="21">
        <v>71.082731920203315</v>
      </c>
      <c r="CF32" s="21">
        <v>69.397243006417071</v>
      </c>
      <c r="CG32" s="21">
        <v>70.410615623020718</v>
      </c>
      <c r="CH32" s="21">
        <v>67.384303126076034</v>
      </c>
      <c r="CI32" s="21">
        <v>69.90236304193435</v>
      </c>
      <c r="CJ32" s="21">
        <v>66.636804457059441</v>
      </c>
    </row>
    <row r="33" spans="1:88" ht="13.5" customHeight="1" x14ac:dyDescent="0.25">
      <c r="A33" s="12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22"/>
      <c r="M33" s="22"/>
      <c r="N33" s="22"/>
      <c r="O33" s="22"/>
      <c r="P33" s="22"/>
      <c r="Q33" s="22"/>
      <c r="R33" s="23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64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</row>
    <row r="34" spans="1:88" ht="13.5" customHeight="1" x14ac:dyDescent="0.25">
      <c r="A34" s="100" t="s">
        <v>34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24"/>
      <c r="AK34" s="24"/>
      <c r="AL34" s="24"/>
      <c r="AM34" s="24"/>
      <c r="AN34" s="24"/>
      <c r="AO34" s="24"/>
      <c r="AP34" s="24"/>
      <c r="AQ34" s="28"/>
      <c r="AR34" s="28"/>
      <c r="AS34" s="29"/>
      <c r="AT34" s="29"/>
      <c r="AU34" s="32"/>
      <c r="AV34" s="32"/>
      <c r="AW34" s="34"/>
      <c r="AX34" s="34"/>
      <c r="AY34" s="34"/>
      <c r="AZ34" s="36"/>
      <c r="BA34" s="35"/>
      <c r="BB34" s="24"/>
      <c r="BC34" s="48"/>
      <c r="BD34" s="47"/>
      <c r="BE34" s="49"/>
      <c r="BF34" s="50"/>
      <c r="BG34" s="51"/>
      <c r="BH34" s="52"/>
      <c r="BI34" s="53"/>
      <c r="BJ34" s="54"/>
      <c r="BK34" s="59"/>
      <c r="BL34" s="69"/>
      <c r="BM34" s="70"/>
      <c r="BN34" s="72"/>
      <c r="BO34" s="71"/>
      <c r="BP34" s="73"/>
      <c r="BQ34" s="75"/>
      <c r="BR34" s="74"/>
      <c r="BS34" s="76"/>
      <c r="BT34" s="77"/>
      <c r="BU34" s="78"/>
      <c r="BV34" s="79"/>
      <c r="BW34" s="81"/>
      <c r="BX34" s="80"/>
      <c r="BY34" s="83"/>
      <c r="BZ34" s="84"/>
      <c r="CA34" s="85"/>
      <c r="CB34" s="86"/>
      <c r="CC34" s="87"/>
      <c r="CD34" s="88"/>
      <c r="CE34" s="89"/>
      <c r="CF34" s="90"/>
      <c r="CG34" s="91"/>
      <c r="CH34" s="92"/>
      <c r="CI34" s="93"/>
      <c r="CJ34" s="94"/>
    </row>
    <row r="35" spans="1:88" ht="13.5" customHeight="1" x14ac:dyDescent="0.25">
      <c r="A35" s="56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31"/>
      <c r="BL35" s="69"/>
      <c r="BM35" s="70"/>
      <c r="BN35" s="72"/>
      <c r="BO35" s="71"/>
      <c r="BP35" s="73"/>
      <c r="BQ35" s="75"/>
      <c r="BR35" s="74"/>
      <c r="BS35" s="76"/>
      <c r="BT35" s="77"/>
      <c r="BU35" s="78"/>
      <c r="BV35" s="79"/>
      <c r="BW35" s="81"/>
      <c r="BX35" s="80"/>
      <c r="BY35" s="83"/>
      <c r="BZ35" s="84"/>
      <c r="CA35" s="85"/>
      <c r="CB35" s="86"/>
      <c r="CC35" s="87"/>
      <c r="CD35" s="88"/>
      <c r="CE35" s="89"/>
      <c r="CF35" s="90"/>
      <c r="CG35" s="91"/>
      <c r="CH35" s="92"/>
      <c r="CI35" s="93"/>
      <c r="CJ35" s="94"/>
    </row>
    <row r="36" spans="1:88" s="31" customFormat="1" ht="24" customHeight="1" x14ac:dyDescent="0.25">
      <c r="A36" s="103" t="s">
        <v>85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</row>
    <row r="37" spans="1:88" s="31" customFormat="1" ht="27.75" customHeight="1" x14ac:dyDescent="0.25">
      <c r="A37" s="101" t="s">
        <v>69</v>
      </c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46"/>
      <c r="AT37" s="46"/>
    </row>
    <row r="38" spans="1:88" s="46" customFormat="1" ht="32.25" customHeight="1" x14ac:dyDescent="0.25">
      <c r="A38" s="101" t="s">
        <v>70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BK38" s="31"/>
    </row>
    <row r="39" spans="1:88" s="46" customFormat="1" ht="20.149999999999999" customHeight="1" x14ac:dyDescent="0.25">
      <c r="A39" s="101" t="s">
        <v>84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BK39" s="31"/>
    </row>
    <row r="40" spans="1:88" ht="30" customHeight="1" x14ac:dyDescent="0.25">
      <c r="A40" s="96" t="s">
        <v>119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</row>
    <row r="41" spans="1:88" ht="20.149999999999999" customHeight="1" x14ac:dyDescent="0.25">
      <c r="A41" s="12"/>
      <c r="L41" s="22"/>
      <c r="M41" s="22"/>
      <c r="N41" s="22"/>
      <c r="O41" s="22"/>
      <c r="P41" s="22"/>
      <c r="Q41" s="22"/>
      <c r="R41" s="23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64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</row>
    <row r="42" spans="1:88" ht="20.149999999999999" customHeight="1" x14ac:dyDescent="0.25">
      <c r="A42" s="12"/>
      <c r="L42" s="22"/>
      <c r="M42" s="22"/>
      <c r="N42" s="22"/>
      <c r="O42" s="22"/>
      <c r="P42" s="22"/>
      <c r="Q42" s="22"/>
      <c r="R42" s="23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64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</row>
    <row r="43" spans="1:88" ht="12.75" customHeight="1" x14ac:dyDescent="0.25"/>
    <row r="44" spans="1:88" ht="12.75" customHeight="1" x14ac:dyDescent="0.25"/>
    <row r="45" spans="1:88" ht="12.75" customHeight="1" x14ac:dyDescent="0.25"/>
    <row r="46" spans="1:88" ht="12.75" customHeight="1" x14ac:dyDescent="0.25"/>
    <row r="47" spans="1:88" ht="12.75" customHeight="1" x14ac:dyDescent="0.25"/>
    <row r="48" spans="1:8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0" hidden="1" customHeight="1" x14ac:dyDescent="0.25"/>
    <row r="84" ht="0" hidden="1" customHeight="1" x14ac:dyDescent="0.25"/>
    <row r="85" ht="0" hidden="1" customHeight="1" x14ac:dyDescent="0.25"/>
  </sheetData>
  <mergeCells count="9">
    <mergeCell ref="A40:AI40"/>
    <mergeCell ref="A1:AI1"/>
    <mergeCell ref="A2:AI2"/>
    <mergeCell ref="A3:AI3"/>
    <mergeCell ref="A34:AI34"/>
    <mergeCell ref="A36:BD36"/>
    <mergeCell ref="A37:AR37"/>
    <mergeCell ref="A38:AR38"/>
    <mergeCell ref="A39:AR39"/>
  </mergeCells>
  <phoneticPr fontId="37" type="noConversion"/>
  <printOptions horizontalCentered="1" verticalCentered="1"/>
  <pageMargins left="0.19685039370078741" right="0.19685039370078741" top="0.19685039370078741" bottom="0.19685039370078741" header="0" footer="0"/>
  <pageSetup paperSize="9" scale="1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BEL</vt:lpstr>
      <vt:lpstr>BEL!Área_de_impresión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VAXT</dc:creator>
  <cp:lastModifiedBy>WGekko</cp:lastModifiedBy>
  <cp:lastPrinted>2007-03-27T15:58:36Z</cp:lastPrinted>
  <dcterms:created xsi:type="dcterms:W3CDTF">2007-01-04T19:18:33Z</dcterms:created>
  <dcterms:modified xsi:type="dcterms:W3CDTF">2025-11-05T20:21:57Z</dcterms:modified>
</cp:coreProperties>
</file>