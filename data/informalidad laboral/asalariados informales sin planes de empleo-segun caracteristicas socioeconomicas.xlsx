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Gekko\Documents\app-trabajo\data\informalidad laboral\"/>
    </mc:Choice>
  </mc:AlternateContent>
  <bookViews>
    <workbookView xWindow="0" yWindow="0" windowWidth="21580" windowHeight="8150"/>
  </bookViews>
  <sheets>
    <sheet name="BEL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1_0CUADRO_N__4.">[1]Afiliados!#REF!</definedName>
    <definedName name="_2_0GRÁFICO_N_10.2">[1]Afiliados!#REF!</definedName>
    <definedName name="_cd1" hidden="1">{"'cua 42'!$A$1:$O$40"}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Key1" hidden="1">'[2]dep pre'!#REF!</definedName>
    <definedName name="_Order1" hidden="1">255</definedName>
    <definedName name="_Parse_In" hidden="1">'[2]dep pre'!#REF!</definedName>
    <definedName name="_Parse_Out" hidden="1">'[2]dep pre'!#REF!</definedName>
    <definedName name="_Sort" hidden="1">'[2]dep pre'!#REF!</definedName>
    <definedName name="A">#REF!</definedName>
    <definedName name="A_impresión_IM">#REF!</definedName>
    <definedName name="AA" hidden="1">{"'cua 42'!$A$1:$O$40"}</definedName>
    <definedName name="ab" hidden="1">{"'cua 42'!$A$1:$O$40"}</definedName>
    <definedName name="adf">'[3]dep pre'!#REF!</definedName>
    <definedName name="af">'[4]sist. financiero_san Luis'!#REF!</definedName>
    <definedName name="affff" hidden="1">{"'cua 42'!$A$1:$O$40"}</definedName>
    <definedName name="AMPO5">"Gráfico 8"</definedName>
    <definedName name="_xlnm.Extract">'[2]dep pre'!#REF!</definedName>
    <definedName name="_xlnm.Print_Area" localSheetId="0">BEL!$A$1:$AO$76</definedName>
    <definedName name="_xlnm.Print_Area">#N/A</definedName>
    <definedName name="asd">'[5]graf 1'!$A$3:$C$28</definedName>
    <definedName name="asdf">'[3]dep pre'!#REF!</definedName>
    <definedName name="Base_datos_IM">'[4]sist. financiero_san Luis'!#REF!</definedName>
    <definedName name="_xlnm.Database">[6]compara!$A$1:$C$27</definedName>
    <definedName name="BB" hidden="1">{"'cua 42'!$A$1:$O$40"}</definedName>
    <definedName name="BORRA_CUADROS">[7]!BORRA_CUADROS</definedName>
    <definedName name="cacho">[8]GRAFPROM!#REF!</definedName>
    <definedName name="carajo">#REF!</definedName>
    <definedName name="cc" hidden="1">{"'cua 42'!$A$1:$O$40"}</definedName>
    <definedName name="Cobertura_del_Plan_Jefes_as_de_Hogar__por_municipio___Junio_2002">#REF!</definedName>
    <definedName name="_xlnm.Criteria">'[4]sist. financiero_san Luis'!#REF!</definedName>
    <definedName name="Criterios_IM">'[4]sist. financiero_san Luis'!#REF!</definedName>
    <definedName name="CUADRO_10.3.1">'[9]fondo promedio'!$A$36:$L$74</definedName>
    <definedName name="CUADRO_N__4.1.3">#REF!</definedName>
    <definedName name="culo">'[5]graf 1'!$A$1:$IV$2</definedName>
    <definedName name="datos">#REF!</definedName>
    <definedName name="dd" hidden="1">{"'cua 42'!$A$1:$O$40"}</definedName>
    <definedName name="dfg" hidden="1">{"'cua 42'!$A$1:$O$40"}</definedName>
    <definedName name="dfgh" hidden="1">{"'cua 42'!$A$1:$O$40"}</definedName>
    <definedName name="dobleclick">#REF!</definedName>
    <definedName name="Extracción_IM">'[2]dep pre'!#REF!</definedName>
    <definedName name="FECHA">#REF!</definedName>
    <definedName name="feo">#REF!</definedName>
    <definedName name="fffffffffff" hidden="1">{"'tasa de salida'!$A$1:$G$48"}</definedName>
    <definedName name="GRÁFICO_10.3.1.">'[9]GRÁFICO DE FONDO POR AFILIADO'!$A$3:$H$35</definedName>
    <definedName name="GRÁFICO_10.3.2">'[9]GRÁFICO DE FONDO POR AFILIADO'!$A$36:$H$68</definedName>
    <definedName name="GRÁFICO_10.3.3">'[9]GRÁFICO DE FONDO POR AFILIADO'!$A$69:$H$101</definedName>
    <definedName name="GRÁFICO_10.3.4.">'[9]GRÁFICO DE FONDO POR AFILIADO'!$A$103:$H$135</definedName>
    <definedName name="GRÁFICO_N_10.2.4.">#REF!</definedName>
    <definedName name="gu" hidden="1">'[3]dep pre'!#REF!</definedName>
    <definedName name="hh" hidden="1">{"'cuadro 18 '!$A$1:$L$34"}</definedName>
    <definedName name="hllliun" hidden="1">'[3]dep pre'!#REF!</definedName>
    <definedName name="hp9pk">'[4]sist. financiero_san Luis'!#REF!</definedName>
    <definedName name="HTML_CodePage" hidden="1">1252</definedName>
    <definedName name="HTML_Control" hidden="1">{"'tasa de salida'!$A$1:$G$48"}</definedName>
    <definedName name="HTML_Control2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iupg">'[3]dep pre'!#REF!</definedName>
    <definedName name="jjjjjjjjjjj" hidden="1">{"'cua 42'!$A$1:$O$40"}</definedName>
    <definedName name="jppmpñ" hidden="1">{"'cua 42'!$A$1:$O$40"}</definedName>
    <definedName name="lkjp" hidden="1">'[3]dep pre'!#REF!</definedName>
    <definedName name="MUJERES">[10]Mujeres!$B$77:$V$109</definedName>
    <definedName name="nnnnnnnnnnn" hidden="1">{"'cua 42'!$A$1:$O$40"}</definedName>
    <definedName name="npppppnj">'[3]dep pre'!#REF!</definedName>
    <definedName name="PIJIS">#REF!</definedName>
    <definedName name="Print_Area_MI">#REF!</definedName>
    <definedName name="PRINT_TITLES_MI">#REF!</definedName>
    <definedName name="promgraf">[8]GRAFPROM!#REF!</definedName>
    <definedName name="puto">#REF!</definedName>
    <definedName name="santiago" hidden="1">{"'cua 42'!$A$1:$O$40"}</definedName>
    <definedName name="sertes" hidden="1">{"'cua 42'!$A$1:$O$40"}</definedName>
    <definedName name="sfg" hidden="1">'[3]dep pre'!#REF!</definedName>
    <definedName name="shit" hidden="1">{"'cua 42'!$A$1:$O$40"}</definedName>
    <definedName name="SOPA">#REF!</definedName>
    <definedName name="sopapita">#REF!</definedName>
    <definedName name="ssssss" hidden="1">{"'tasa de salida'!$A$1:$G$48"}</definedName>
    <definedName name="Títulos_a_imprimir_IM">#REF!</definedName>
    <definedName name="TRANSFERENCIA">[7]!TRANSFERENCIA</definedName>
    <definedName name="tyurt" hidden="1">{"'cua 42'!$A$1:$O$40"}</definedName>
    <definedName name="v">#REF!</definedName>
    <definedName name="VARONES">[10]Varones!$B$77:$V$109</definedName>
    <definedName name="YO">[8]GRAFPROM!#REF!</definedName>
    <definedName name="yuetyy" hidden="1">{"'cua 42'!$A$1:$O$40"}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68" i="2" l="1"/>
  <c r="R67" i="2"/>
  <c r="R66" i="2"/>
  <c r="R65" i="2"/>
  <c r="R64" i="2"/>
  <c r="R62" i="2"/>
  <c r="R61" i="2"/>
  <c r="R60" i="2"/>
  <c r="R59" i="2"/>
  <c r="R58" i="2"/>
  <c r="R57" i="2"/>
  <c r="R55" i="2"/>
  <c r="R54" i="2"/>
  <c r="R53" i="2"/>
  <c r="R52" i="2"/>
  <c r="R50" i="2"/>
  <c r="R49" i="2"/>
  <c r="R48" i="2"/>
  <c r="R47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AX68" i="2"/>
  <c r="AY68" i="2" s="1"/>
  <c r="AZ68" i="2" s="1"/>
  <c r="AX67" i="2"/>
  <c r="AY67" i="2" s="1"/>
  <c r="AZ67" i="2" s="1"/>
  <c r="AY66" i="2"/>
  <c r="AZ66" i="2" s="1"/>
  <c r="AX66" i="2"/>
  <c r="AX65" i="2"/>
  <c r="AY65" i="2" s="1"/>
  <c r="AZ65" i="2" s="1"/>
  <c r="AX64" i="2"/>
  <c r="AY64" i="2" s="1"/>
  <c r="AZ64" i="2" s="1"/>
  <c r="AX62" i="2"/>
  <c r="AY62" i="2" s="1"/>
  <c r="AZ62" i="2" s="1"/>
  <c r="AX61" i="2"/>
  <c r="AY61" i="2" s="1"/>
  <c r="AZ61" i="2" s="1"/>
  <c r="AX60" i="2"/>
  <c r="AY60" i="2" s="1"/>
  <c r="AZ60" i="2" s="1"/>
  <c r="AY59" i="2"/>
  <c r="AZ59" i="2" s="1"/>
  <c r="AX59" i="2"/>
  <c r="AX58" i="2"/>
  <c r="AY58" i="2" s="1"/>
  <c r="AZ58" i="2" s="1"/>
  <c r="AX57" i="2"/>
  <c r="AY57" i="2" s="1"/>
  <c r="AZ57" i="2" s="1"/>
  <c r="AX55" i="2"/>
  <c r="AY55" i="2" s="1"/>
  <c r="AZ55" i="2" s="1"/>
  <c r="AX54" i="2"/>
  <c r="AY54" i="2" s="1"/>
  <c r="AZ54" i="2" s="1"/>
  <c r="AY53" i="2"/>
  <c r="AZ53" i="2" s="1"/>
  <c r="AX53" i="2"/>
  <c r="AX52" i="2"/>
  <c r="AY52" i="2" s="1"/>
  <c r="AZ52" i="2" s="1"/>
  <c r="AX50" i="2"/>
  <c r="AY50" i="2" s="1"/>
  <c r="AZ50" i="2" s="1"/>
  <c r="AX49" i="2"/>
  <c r="AY49" i="2" s="1"/>
  <c r="AZ49" i="2" s="1"/>
  <c r="AY48" i="2"/>
  <c r="AZ48" i="2" s="1"/>
  <c r="AX48" i="2"/>
  <c r="AX47" i="2"/>
  <c r="AY47" i="2" s="1"/>
  <c r="AZ47" i="2" s="1"/>
  <c r="AX45" i="2"/>
  <c r="AY45" i="2" s="1"/>
  <c r="AZ45" i="2" s="1"/>
  <c r="AX44" i="2"/>
  <c r="AY44" i="2" s="1"/>
  <c r="AZ44" i="2" s="1"/>
  <c r="AY43" i="2"/>
  <c r="AZ43" i="2" s="1"/>
  <c r="AX43" i="2"/>
  <c r="AX42" i="2"/>
  <c r="AY42" i="2" s="1"/>
  <c r="AZ42" i="2" s="1"/>
  <c r="AX41" i="2"/>
  <c r="AY41" i="2" s="1"/>
  <c r="AZ41" i="2" s="1"/>
  <c r="AZ40" i="2"/>
  <c r="AY40" i="2"/>
  <c r="AX40" i="2"/>
  <c r="AX39" i="2"/>
  <c r="AY39" i="2" s="1"/>
  <c r="AZ39" i="2" s="1"/>
  <c r="AX38" i="2"/>
  <c r="AY38" i="2" s="1"/>
  <c r="AZ38" i="2" s="1"/>
  <c r="AX37" i="2"/>
  <c r="AY37" i="2" s="1"/>
  <c r="AZ37" i="2" s="1"/>
  <c r="AX36" i="2"/>
  <c r="AY36" i="2" s="1"/>
  <c r="AZ36" i="2" s="1"/>
  <c r="AY35" i="2"/>
  <c r="AZ35" i="2" s="1"/>
  <c r="AX35" i="2"/>
  <c r="AX34" i="2"/>
  <c r="AY34" i="2" s="1"/>
  <c r="AZ34" i="2" s="1"/>
  <c r="AX33" i="2"/>
  <c r="AY33" i="2" s="1"/>
  <c r="AZ33" i="2" s="1"/>
  <c r="AX26" i="2"/>
  <c r="AY26" i="2" s="1"/>
  <c r="AZ26" i="2" s="1"/>
  <c r="AX25" i="2"/>
  <c r="AY25" i="2" s="1"/>
  <c r="AZ25" i="2" s="1"/>
  <c r="AY24" i="2"/>
  <c r="AZ24" i="2" s="1"/>
  <c r="AX24" i="2"/>
  <c r="AX23" i="2"/>
  <c r="AY23" i="2" s="1"/>
  <c r="AZ23" i="2" s="1"/>
  <c r="AX22" i="2"/>
  <c r="AY22" i="2" s="1"/>
  <c r="AZ22" i="2" s="1"/>
  <c r="AX21" i="2"/>
  <c r="AY21" i="2" s="1"/>
  <c r="AZ21" i="2" s="1"/>
  <c r="AX19" i="2"/>
  <c r="AY19" i="2" s="1"/>
  <c r="AZ19" i="2" s="1"/>
  <c r="AX18" i="2"/>
  <c r="AY18" i="2" s="1"/>
  <c r="AZ18" i="2" s="1"/>
  <c r="AX17" i="2"/>
  <c r="AY17" i="2" s="1"/>
  <c r="AZ17" i="2" s="1"/>
  <c r="AX16" i="2"/>
  <c r="AY16" i="2" s="1"/>
  <c r="AZ16" i="2" s="1"/>
  <c r="AX14" i="2"/>
  <c r="AY14" i="2" s="1"/>
  <c r="AZ14" i="2" s="1"/>
  <c r="AX13" i="2"/>
  <c r="AY13" i="2" s="1"/>
  <c r="AZ13" i="2" s="1"/>
  <c r="AX12" i="2"/>
  <c r="AY12" i="2" s="1"/>
  <c r="AZ12" i="2" s="1"/>
  <c r="AX11" i="2"/>
  <c r="AY11" i="2" s="1"/>
  <c r="AZ11" i="2" s="1"/>
  <c r="AX10" i="2"/>
  <c r="AY10" i="2" s="1"/>
  <c r="AZ10" i="2" s="1"/>
  <c r="AX8" i="2"/>
  <c r="AY8" i="2" s="1"/>
  <c r="AZ8" i="2" s="1"/>
  <c r="AX7" i="2"/>
  <c r="AY7" i="2" s="1"/>
  <c r="AZ7" i="2" s="1"/>
  <c r="AX5" i="2"/>
  <c r="AY5" i="2" s="1"/>
  <c r="AZ5" i="2" s="1"/>
  <c r="R26" i="2"/>
  <c r="R25" i="2"/>
  <c r="R24" i="2"/>
  <c r="R23" i="2"/>
  <c r="R22" i="2"/>
  <c r="R21" i="2"/>
  <c r="R19" i="2"/>
  <c r="R18" i="2"/>
  <c r="R17" i="2"/>
  <c r="R16" i="2"/>
  <c r="R14" i="2"/>
  <c r="R13" i="2"/>
  <c r="R12" i="2"/>
  <c r="R11" i="2"/>
  <c r="R10" i="2"/>
  <c r="R8" i="2"/>
  <c r="R7" i="2"/>
  <c r="R5" i="2"/>
  <c r="AP5" i="2" l="1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Q5" i="2"/>
  <c r="K5" i="2"/>
  <c r="J5" i="2"/>
  <c r="I5" i="2"/>
  <c r="H5" i="2"/>
  <c r="G5" i="2"/>
  <c r="F5" i="2"/>
  <c r="E5" i="2"/>
  <c r="D5" i="2"/>
  <c r="C5" i="2"/>
  <c r="B5" i="2"/>
  <c r="L5" i="2" l="1"/>
  <c r="M5" i="2"/>
  <c r="N5" i="2"/>
  <c r="O5" i="2"/>
  <c r="P5" i="2"/>
</calcChain>
</file>

<file path=xl/sharedStrings.xml><?xml version="1.0" encoding="utf-8"?>
<sst xmlns="http://schemas.openxmlformats.org/spreadsheetml/2006/main" count="162" uniqueCount="161">
  <si>
    <t>Total</t>
  </si>
  <si>
    <t>Sexo</t>
  </si>
  <si>
    <t>Varones</t>
  </si>
  <si>
    <t>Mujeres</t>
  </si>
  <si>
    <t>Edad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</si>
  <si>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</si>
  <si>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</si>
  <si>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</si>
  <si>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</si>
  <si>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</si>
  <si>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</si>
  <si>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</si>
  <si>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</si>
  <si>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</si>
  <si>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</si>
  <si>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</si>
  <si>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</si>
  <si>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</si>
  <si>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</si>
  <si>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</si>
  <si>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</si>
  <si>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Rama de actividad</t>
  </si>
  <si>
    <t>Actividades primarias</t>
  </si>
  <si>
    <t>Industria manufaturera</t>
  </si>
  <si>
    <t>Construcción</t>
  </si>
  <si>
    <t>Comercio</t>
  </si>
  <si>
    <t>Hoteles y restaurantes</t>
  </si>
  <si>
    <t>Transporte, almacenaje y comunicaciones</t>
  </si>
  <si>
    <t>Enseñanza</t>
  </si>
  <si>
    <t>Servicios sociales y de salud</t>
  </si>
  <si>
    <t>Otras ramas</t>
  </si>
  <si>
    <t>Sin especificar</t>
  </si>
  <si>
    <t>Tamaño del establecimiento</t>
  </si>
  <si>
    <t>Calificación de la tarea</t>
  </si>
  <si>
    <t>Profesional</t>
  </si>
  <si>
    <t>Técnica</t>
  </si>
  <si>
    <t>Operativa</t>
  </si>
  <si>
    <t>Sin calificación</t>
  </si>
  <si>
    <t>Horas trabajadas</t>
  </si>
  <si>
    <t>hasta 19</t>
  </si>
  <si>
    <t>20 a 34</t>
  </si>
  <si>
    <t>35 a 45</t>
  </si>
  <si>
    <t>46 a 60</t>
  </si>
  <si>
    <t>más de 60</t>
  </si>
  <si>
    <t>No trabajó en la semana</t>
  </si>
  <si>
    <t>Hasta 5 personas</t>
  </si>
  <si>
    <t>De 6 a 40 personas</t>
  </si>
  <si>
    <t>Más de 40 personas</t>
  </si>
  <si>
    <t>Notas:</t>
  </si>
  <si>
    <t>1° Trim 06</t>
  </si>
  <si>
    <t>2° Trim 06</t>
  </si>
  <si>
    <t>3° Trim 06</t>
  </si>
  <si>
    <t>4° Trim 06</t>
  </si>
  <si>
    <t>1° Trim 07</t>
  </si>
  <si>
    <t>Nivel educativo</t>
  </si>
  <si>
    <t>Mercado de trabajo - EPH</t>
  </si>
  <si>
    <t>Ingreso per cápita familiar</t>
  </si>
  <si>
    <t>2do Quintil</t>
  </si>
  <si>
    <t>3er Quintil</t>
  </si>
  <si>
    <t>4to Quintil</t>
  </si>
  <si>
    <t>5to Quintil</t>
  </si>
  <si>
    <t>Total aglomerados relevados - en miles de personas</t>
  </si>
  <si>
    <t>Trabajo doméstico</t>
  </si>
  <si>
    <t>Servicios financieros, inmobiliarios, alquileres y empresariales</t>
  </si>
  <si>
    <r>
      <t>1</t>
    </r>
    <r>
      <rPr>
        <vertAlign val="superscript"/>
        <sz val="10"/>
        <rFont val="Arial"/>
        <family val="2"/>
      </rPr>
      <t>er</t>
    </r>
    <r>
      <rPr>
        <sz val="10"/>
        <rFont val="Arial"/>
        <family val="2"/>
      </rPr>
      <t xml:space="preserve"> Quintil</t>
    </r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</si>
  <si>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</si>
  <si>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</si>
  <si>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2</t>
    </r>
  </si>
  <si>
    <r>
      <t xml:space="preserve">4° Trim 07 </t>
    </r>
    <r>
      <rPr>
        <b/>
        <vertAlign val="superscript"/>
        <sz val="12"/>
        <rFont val="Arial"/>
        <family val="2"/>
      </rPr>
      <t>2</t>
    </r>
  </si>
  <si>
    <r>
      <t xml:space="preserve">1° Trim 08 </t>
    </r>
    <r>
      <rPr>
        <b/>
        <vertAlign val="superscript"/>
        <sz val="12"/>
        <rFont val="Arial"/>
        <family val="2"/>
      </rPr>
      <t>2</t>
    </r>
  </si>
  <si>
    <r>
      <t xml:space="preserve">2° Trim 08 </t>
    </r>
    <r>
      <rPr>
        <b/>
        <vertAlign val="superscript"/>
        <sz val="12"/>
        <rFont val="Arial"/>
        <family val="2"/>
      </rPr>
      <t>2</t>
    </r>
  </si>
  <si>
    <r>
      <t xml:space="preserve">3° Trim 08 </t>
    </r>
    <r>
      <rPr>
        <b/>
        <vertAlign val="superscript"/>
        <sz val="12"/>
        <rFont val="Arial"/>
        <family val="2"/>
      </rPr>
      <t>2</t>
    </r>
  </si>
  <si>
    <r>
      <t xml:space="preserve">4° Trim 08 </t>
    </r>
    <r>
      <rPr>
        <b/>
        <vertAlign val="superscript"/>
        <sz val="12"/>
        <rFont val="Arial"/>
        <family val="2"/>
      </rPr>
      <t>2</t>
    </r>
  </si>
  <si>
    <r>
      <t xml:space="preserve">1° Trim 09 </t>
    </r>
    <r>
      <rPr>
        <b/>
        <vertAlign val="superscript"/>
        <sz val="12"/>
        <rFont val="Arial"/>
        <family val="2"/>
      </rPr>
      <t>2</t>
    </r>
  </si>
  <si>
    <r>
      <t xml:space="preserve">2° Trim 09 </t>
    </r>
    <r>
      <rPr>
        <b/>
        <vertAlign val="superscript"/>
        <sz val="12"/>
        <rFont val="Arial"/>
        <family val="2"/>
      </rPr>
      <t>2</t>
    </r>
  </si>
  <si>
    <r>
      <t xml:space="preserve">3° Trim 09 </t>
    </r>
    <r>
      <rPr>
        <b/>
        <vertAlign val="superscript"/>
        <sz val="12"/>
        <rFont val="Arial"/>
        <family val="2"/>
      </rPr>
      <t>2</t>
    </r>
  </si>
  <si>
    <r>
      <t xml:space="preserve">4° Trim 09 </t>
    </r>
    <r>
      <rPr>
        <b/>
        <vertAlign val="superscript"/>
        <sz val="12"/>
        <rFont val="Arial"/>
        <family val="2"/>
      </rPr>
      <t>2</t>
    </r>
  </si>
  <si>
    <r>
      <t xml:space="preserve">1° Trim 10 </t>
    </r>
    <r>
      <rPr>
        <b/>
        <vertAlign val="superscript"/>
        <sz val="12"/>
        <rFont val="Arial"/>
        <family val="2"/>
      </rPr>
      <t>2</t>
    </r>
  </si>
  <si>
    <r>
      <t xml:space="preserve">2° Trim 10 </t>
    </r>
    <r>
      <rPr>
        <b/>
        <vertAlign val="superscript"/>
        <sz val="12"/>
        <rFont val="Arial"/>
        <family val="2"/>
      </rPr>
      <t>2</t>
    </r>
  </si>
  <si>
    <r>
      <t xml:space="preserve">3° Trim 10 </t>
    </r>
    <r>
      <rPr>
        <b/>
        <vertAlign val="superscript"/>
        <sz val="12"/>
        <rFont val="Arial"/>
        <family val="2"/>
      </rPr>
      <t>2</t>
    </r>
  </si>
  <si>
    <r>
      <t xml:space="preserve">4° Trim 10 </t>
    </r>
    <r>
      <rPr>
        <b/>
        <vertAlign val="superscript"/>
        <sz val="12"/>
        <rFont val="Arial"/>
        <family val="2"/>
      </rPr>
      <t>2</t>
    </r>
  </si>
  <si>
    <r>
      <t xml:space="preserve">1° Trim 11 </t>
    </r>
    <r>
      <rPr>
        <b/>
        <vertAlign val="superscript"/>
        <sz val="12"/>
        <rFont val="Arial"/>
        <family val="2"/>
      </rPr>
      <t>2</t>
    </r>
  </si>
  <si>
    <r>
      <t xml:space="preserve">2° Trim 11 </t>
    </r>
    <r>
      <rPr>
        <b/>
        <vertAlign val="superscript"/>
        <sz val="12"/>
        <rFont val="Arial"/>
        <family val="2"/>
      </rPr>
      <t>2</t>
    </r>
  </si>
  <si>
    <r>
      <t xml:space="preserve">3° Trim 11 </t>
    </r>
    <r>
      <rPr>
        <b/>
        <vertAlign val="superscript"/>
        <sz val="12"/>
        <rFont val="Arial"/>
        <family val="2"/>
      </rPr>
      <t>2</t>
    </r>
  </si>
  <si>
    <r>
      <t xml:space="preserve">4° Trim 11 </t>
    </r>
    <r>
      <rPr>
        <b/>
        <vertAlign val="superscript"/>
        <sz val="12"/>
        <rFont val="Arial"/>
        <family val="2"/>
      </rPr>
      <t>2</t>
    </r>
  </si>
  <si>
    <r>
      <t xml:space="preserve">1° Trim 12 </t>
    </r>
    <r>
      <rPr>
        <b/>
        <vertAlign val="superscript"/>
        <sz val="12"/>
        <rFont val="Arial"/>
        <family val="2"/>
      </rPr>
      <t>2</t>
    </r>
  </si>
  <si>
    <r>
      <t xml:space="preserve">2° Trim 12 </t>
    </r>
    <r>
      <rPr>
        <b/>
        <vertAlign val="superscript"/>
        <sz val="12"/>
        <rFont val="Arial"/>
        <family val="2"/>
      </rPr>
      <t>2</t>
    </r>
  </si>
  <si>
    <r>
      <t xml:space="preserve">3° Trim 12 </t>
    </r>
    <r>
      <rPr>
        <b/>
        <vertAlign val="superscript"/>
        <sz val="12"/>
        <rFont val="Arial"/>
        <family val="2"/>
      </rPr>
      <t>2</t>
    </r>
  </si>
  <si>
    <r>
      <t xml:space="preserve">4° Trim 12 </t>
    </r>
    <r>
      <rPr>
        <b/>
        <vertAlign val="superscript"/>
        <sz val="12"/>
        <rFont val="Arial"/>
        <family val="2"/>
      </rPr>
      <t>2</t>
    </r>
  </si>
  <si>
    <r>
      <t xml:space="preserve">1° Trim 13 </t>
    </r>
    <r>
      <rPr>
        <b/>
        <vertAlign val="superscript"/>
        <sz val="12"/>
        <rFont val="Arial"/>
        <family val="2"/>
      </rPr>
      <t>2</t>
    </r>
  </si>
  <si>
    <r>
      <t xml:space="preserve">2° Trim 13 </t>
    </r>
    <r>
      <rPr>
        <b/>
        <vertAlign val="superscript"/>
        <sz val="12"/>
        <rFont val="Arial"/>
        <family val="2"/>
      </rPr>
      <t>2</t>
    </r>
  </si>
  <si>
    <r>
      <t xml:space="preserve">3° Trim 13 </t>
    </r>
    <r>
      <rPr>
        <b/>
        <vertAlign val="superscript"/>
        <sz val="12"/>
        <rFont val="Arial"/>
        <family val="2"/>
      </rPr>
      <t>2</t>
    </r>
  </si>
  <si>
    <r>
      <t xml:space="preserve">4° Trim 13 </t>
    </r>
    <r>
      <rPr>
        <b/>
        <vertAlign val="superscript"/>
        <sz val="12"/>
        <rFont val="Arial"/>
        <family val="2"/>
      </rPr>
      <t>2</t>
    </r>
  </si>
  <si>
    <r>
      <t xml:space="preserve">2° Trim 14 </t>
    </r>
    <r>
      <rPr>
        <b/>
        <vertAlign val="superscript"/>
        <sz val="12"/>
        <rFont val="Arial"/>
        <family val="2"/>
      </rPr>
      <t>2</t>
    </r>
  </si>
  <si>
    <r>
      <t xml:space="preserve">3° Trim 14 </t>
    </r>
    <r>
      <rPr>
        <b/>
        <vertAlign val="superscript"/>
        <sz val="12"/>
        <rFont val="Arial"/>
        <family val="2"/>
      </rPr>
      <t>2</t>
    </r>
  </si>
  <si>
    <r>
      <t xml:space="preserve">4° Trim 14 </t>
    </r>
    <r>
      <rPr>
        <b/>
        <vertAlign val="superscript"/>
        <sz val="12"/>
        <rFont val="Arial"/>
        <family val="2"/>
      </rPr>
      <t>2</t>
    </r>
  </si>
  <si>
    <r>
      <t xml:space="preserve">1° Trim 15 </t>
    </r>
    <r>
      <rPr>
        <b/>
        <vertAlign val="superscript"/>
        <sz val="12"/>
        <rFont val="Arial"/>
        <family val="2"/>
      </rPr>
      <t>2</t>
    </r>
  </si>
  <si>
    <r>
      <t xml:space="preserve">2° Trim 15 </t>
    </r>
    <r>
      <rPr>
        <b/>
        <vertAlign val="superscript"/>
        <sz val="12"/>
        <rFont val="Arial"/>
        <family val="2"/>
      </rPr>
      <t>2</t>
    </r>
  </si>
  <si>
    <r>
      <t xml:space="preserve">3° Trim 15 </t>
    </r>
    <r>
      <rPr>
        <b/>
        <vertAlign val="superscript"/>
        <sz val="12"/>
        <rFont val="Arial"/>
        <family val="2"/>
      </rPr>
      <t>2</t>
    </r>
  </si>
  <si>
    <r>
      <t xml:space="preserve">4° Trim 15 </t>
    </r>
    <r>
      <rPr>
        <b/>
        <vertAlign val="superscript"/>
        <sz val="12"/>
        <rFont val="Arial"/>
        <family val="2"/>
      </rPr>
      <t>2</t>
    </r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</si>
  <si>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</si>
  <si>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</si>
  <si>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</si>
  <si>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</si>
  <si>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</si>
  <si>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</si>
  <si>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</si>
  <si>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</si>
  <si>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</si>
  <si>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</si>
  <si>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</si>
  <si>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</si>
  <si>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</si>
  <si>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</si>
  <si>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</si>
  <si>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</si>
  <si>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</si>
  <si>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</si>
  <si>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r>
      <t xml:space="preserve">3° Trim 07 </t>
    </r>
    <r>
      <rPr>
        <b/>
        <vertAlign val="superscript"/>
        <sz val="12"/>
        <rFont val="Arial"/>
        <family val="2"/>
      </rPr>
      <t>2 3</t>
    </r>
  </si>
  <si>
    <r>
      <t xml:space="preserve">1° Trim 14 </t>
    </r>
    <r>
      <rPr>
        <b/>
        <vertAlign val="superscript"/>
        <sz val="12"/>
        <rFont val="Arial"/>
        <family val="2"/>
      </rPr>
      <t>2 4</t>
    </r>
  </si>
  <si>
    <t>4° Trim 18</t>
  </si>
  <si>
    <r>
      <t xml:space="preserve">1° Trim 16 </t>
    </r>
    <r>
      <rPr>
        <b/>
        <vertAlign val="superscript"/>
        <sz val="12"/>
        <rFont val="Arial"/>
        <family val="2"/>
      </rPr>
      <t>5</t>
    </r>
  </si>
  <si>
    <t>2° Trim 19</t>
  </si>
  <si>
    <t>1° Trim 19</t>
  </si>
  <si>
    <t>3° Trim 19</t>
  </si>
  <si>
    <t>4° Trim 19</t>
  </si>
  <si>
    <t>1° Trim 20</t>
  </si>
  <si>
    <t>2° Trim 20</t>
  </si>
  <si>
    <t>3° Trim 20</t>
  </si>
  <si>
    <t>4° Trim 20</t>
  </si>
  <si>
    <t>1° Trim 21</t>
  </si>
  <si>
    <t>2° Trim 21</t>
  </si>
  <si>
    <t>3° Trim 21</t>
  </si>
  <si>
    <t>4° Trim 21</t>
  </si>
  <si>
    <t>1° Trim 22</t>
  </si>
  <si>
    <t>2° Trim 22</t>
  </si>
  <si>
    <t>3° Trim 22</t>
  </si>
  <si>
    <t>4° Trim 22</t>
  </si>
  <si>
    <t>1° Trim 23</t>
  </si>
  <si>
    <t>2° Trim 23</t>
  </si>
  <si>
    <t>3° Trim 23</t>
  </si>
  <si>
    <t>4° Trim 23</t>
  </si>
  <si>
    <t>1° Trim 24</t>
  </si>
  <si>
    <t>2° Trim 24</t>
  </si>
  <si>
    <t>3° Trim 24</t>
  </si>
  <si>
    <t>4° Trim 24</t>
  </si>
  <si>
    <t>1° Trim 25</t>
  </si>
  <si>
    <r>
      <t>Asalariados informales</t>
    </r>
    <r>
      <rPr>
        <b/>
        <sz val="14"/>
        <color indexed="9"/>
        <rFont val="Arial"/>
        <family val="2"/>
      </rPr>
      <t xml:space="preserve"> según sexo, grupos de edad, posición en el hogar, nivel educativo, rama de actividad, tamaño del establecimiento, calificación de la tarea y horas trabajadas, excluyendo beneficiarios de planes de empleo. </t>
    </r>
  </si>
  <si>
    <t>1.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</si>
  <si>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2. No se presenta la información correspondiente al 3° trimestre de 2007 debido a que en dicho trimestre no se relevaron algunos de los principales aglomerados de la EPH (GBA, Mar del Plata, Bahía Blanca y Gran La Plata).</t>
  </si>
  <si>
    <t>3. A partir del 1° trimestre de 2014 todas las viviendas seleccionadas para la EPH son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anteriores.</t>
  </si>
  <si>
    <t>4. Información no disponible</t>
  </si>
  <si>
    <t>5. Incluye Administración pública y defensa, Asociaciones sindicales, empresariales y sociales, Servicios culturales y deportivos, entre otros.</t>
  </si>
  <si>
    <r>
      <t xml:space="preserve"> Otros servicios comunitarios, sociales y personales</t>
    </r>
    <r>
      <rPr>
        <vertAlign val="superscript"/>
        <sz val="10"/>
        <rFont val="Arial"/>
        <family val="2"/>
      </rPr>
      <t xml:space="preserve"> 5</t>
    </r>
  </si>
  <si>
    <t>Sector</t>
  </si>
  <si>
    <t>Formal</t>
  </si>
  <si>
    <t>Informal</t>
  </si>
  <si>
    <t>Hogares</t>
  </si>
  <si>
    <t>Ns/Nr</t>
  </si>
  <si>
    <t>Fuente:STEySS - Dirección Nacional de Estudios y Estadísticas Laborales, en base a EPH (INDEC).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</si>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</sst>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.00_ ;_ * \-#,##0.00_ ;_ * &quot;-&quot;??_ ;_ @_ "/>
    <numFmt numFmtId="165" formatCode="_ * #,##0_ ;_ * \-#,##0_ ;_ * &quot;-&quot;??_ ;_ @_ "/>
    <numFmt numFmtId="166" formatCode="#.##000"/>
    <numFmt numFmtId="167" formatCode="\$#,#00"/>
    <numFmt numFmtId="168" formatCode="#,#00"/>
    <numFmt numFmtId="169" formatCode="#.##0,"/>
    <numFmt numFmtId="170" formatCode="\$#,"/>
    <numFmt numFmtId="171" formatCode="_ [$€-2]\ * #,##0.00_ ;_ [$€-2]\ * \-#,##0.00_ ;_ [$€-2]\ * &quot;-&quot;??_ "/>
    <numFmt numFmtId="172" formatCode="&quot;$&quot;#,##0\ ;\(&quot;$&quot;#,##0\)"/>
  </numFmts>
  <fonts count="18" x14ac:knownFonts="1">
    <font>
      <sz val="10"/>
      <name val="Arial"/>
    </font>
    <font>
      <sz val="10"/>
      <name val="Arial"/>
      <family val="2"/>
    </font>
    <font>
      <b/>
      <sz val="1"/>
      <color indexed="8"/>
      <name val="Courier"/>
      <family val="3"/>
    </font>
    <font>
      <sz val="10"/>
      <color indexed="22"/>
      <name val="Arial"/>
      <family val="2"/>
    </font>
    <font>
      <sz val="12"/>
      <name val="Helv"/>
    </font>
    <font>
      <sz val="1"/>
      <color indexed="8"/>
      <name val="Courier"/>
      <family val="3"/>
    </font>
    <font>
      <sz val="10"/>
      <name val="Verdana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b/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vertAlign val="superscript"/>
      <sz val="10"/>
      <name val="Arial"/>
      <family val="2"/>
    </font>
    <font>
      <b/>
      <vertAlign val="superscript"/>
      <sz val="12"/>
      <name val="Arial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0">
      <protection locked="0"/>
    </xf>
    <xf numFmtId="0" fontId="2" fillId="0" borderId="0">
      <protection locked="0"/>
    </xf>
    <xf numFmtId="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/>
    <xf numFmtId="171" fontId="1" fillId="0" borderId="0" applyFont="0" applyFill="0" applyBorder="0" applyAlignment="0" applyProtection="0"/>
    <xf numFmtId="0" fontId="5" fillId="0" borderId="0">
      <protection locked="0"/>
    </xf>
    <xf numFmtId="168" fontId="5" fillId="0" borderId="0">
      <protection locked="0"/>
    </xf>
    <xf numFmtId="2" fontId="3" fillId="0" borderId="0" applyFont="0" applyFill="0" applyBorder="0" applyAlignment="0" applyProtection="0"/>
    <xf numFmtId="167" fontId="5" fillId="0" borderId="0">
      <protection locked="0"/>
    </xf>
    <xf numFmtId="170" fontId="5" fillId="0" borderId="0">
      <protection locked="0"/>
    </xf>
    <xf numFmtId="0" fontId="6" fillId="0" borderId="0"/>
    <xf numFmtId="166" fontId="5" fillId="0" borderId="0">
      <protection locked="0"/>
    </xf>
    <xf numFmtId="169" fontId="5" fillId="0" borderId="0">
      <protection locked="0"/>
    </xf>
    <xf numFmtId="0" fontId="5" fillId="0" borderId="1">
      <protection locked="0"/>
    </xf>
    <xf numFmtId="0" fontId="7" fillId="0" borderId="0"/>
    <xf numFmtId="164" fontId="7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13" applyFont="1" applyAlignment="1">
      <alignment horizontal="center" vertical="center"/>
    </xf>
    <xf numFmtId="0" fontId="12" fillId="2" borderId="0" xfId="17" applyFont="1" applyFill="1" applyAlignment="1">
      <alignment horizontal="center" vertical="center" wrapText="1"/>
    </xf>
    <xf numFmtId="165" fontId="11" fillId="0" borderId="2" xfId="18" applyNumberFormat="1" applyFont="1" applyBorder="1" applyAlignment="1">
      <alignment horizontal="left" vertical="center"/>
    </xf>
    <xf numFmtId="165" fontId="11" fillId="0" borderId="2" xfId="18" applyNumberFormat="1" applyFont="1" applyBorder="1" applyAlignment="1">
      <alignment horizontal="right" vertical="center"/>
    </xf>
    <xf numFmtId="165" fontId="11" fillId="0" borderId="3" xfId="18" applyNumberFormat="1" applyFont="1" applyBorder="1" applyAlignment="1">
      <alignment vertical="center"/>
    </xf>
    <xf numFmtId="165" fontId="11" fillId="0" borderId="3" xfId="18" applyNumberFormat="1" applyFont="1" applyBorder="1" applyAlignment="1">
      <alignment horizontal="left" vertical="center"/>
    </xf>
    <xf numFmtId="165" fontId="11" fillId="0" borderId="2" xfId="18" applyNumberFormat="1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5" fontId="1" fillId="0" borderId="0" xfId="18" applyNumberFormat="1" applyFont="1" applyBorder="1" applyAlignment="1">
      <alignment horizontal="left" vertical="center" indent="1"/>
    </xf>
    <xf numFmtId="0" fontId="1" fillId="0" borderId="0" xfId="18" applyNumberFormat="1" applyFont="1" applyBorder="1" applyAlignment="1">
      <alignment horizontal="left" vertical="center" indent="1"/>
    </xf>
    <xf numFmtId="0" fontId="1" fillId="0" borderId="0" xfId="13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165" fontId="1" fillId="0" borderId="0" xfId="18" applyNumberFormat="1" applyFont="1" applyBorder="1" applyAlignment="1">
      <alignment vertical="center"/>
    </xf>
    <xf numFmtId="165" fontId="1" fillId="0" borderId="0" xfId="18" applyNumberFormat="1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3" fontId="1" fillId="0" borderId="0" xfId="0" applyNumberFormat="1" applyFont="1"/>
    <xf numFmtId="165" fontId="1" fillId="0" borderId="2" xfId="18" applyNumberFormat="1" applyFont="1" applyBorder="1" applyAlignment="1">
      <alignment horizontal="left" vertical="center" indent="1"/>
    </xf>
    <xf numFmtId="165" fontId="1" fillId="0" borderId="2" xfId="18" applyNumberFormat="1" applyFont="1" applyBorder="1" applyAlignment="1">
      <alignment vertical="center"/>
    </xf>
    <xf numFmtId="165" fontId="1" fillId="0" borderId="2" xfId="18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/>
    </xf>
    <xf numFmtId="165" fontId="11" fillId="0" borderId="2" xfId="18" applyNumberFormat="1" applyFont="1" applyBorder="1" applyAlignment="1">
      <alignment horizontal="center" vertical="center"/>
    </xf>
    <xf numFmtId="165" fontId="11" fillId="0" borderId="3" xfId="18" applyNumberFormat="1" applyFont="1" applyBorder="1" applyAlignment="1">
      <alignment horizontal="center" vertical="center"/>
    </xf>
    <xf numFmtId="0" fontId="13" fillId="2" borderId="5" xfId="13" applyFont="1" applyFill="1" applyBorder="1" applyAlignment="1">
      <alignment horizontal="center" vertical="center"/>
    </xf>
    <xf numFmtId="3" fontId="1" fillId="0" borderId="2" xfId="0" applyNumberFormat="1" applyFont="1" applyBorder="1"/>
    <xf numFmtId="165" fontId="11" fillId="0" borderId="3" xfId="18" applyNumberFormat="1" applyFont="1" applyBorder="1" applyAlignment="1">
      <alignment horizontal="right" vertical="center"/>
    </xf>
    <xf numFmtId="0" fontId="14" fillId="3" borderId="2" xfId="13" applyFont="1" applyFill="1" applyBorder="1" applyAlignment="1">
      <alignment horizontal="right" vertical="center"/>
    </xf>
    <xf numFmtId="0" fontId="11" fillId="0" borderId="0" xfId="13" applyFont="1" applyAlignment="1">
      <alignment horizontal="right" vertical="center"/>
    </xf>
    <xf numFmtId="0" fontId="12" fillId="2" borderId="0" xfId="17" applyFont="1" applyFill="1" applyAlignment="1">
      <alignment vertical="center" wrapText="1"/>
    </xf>
    <xf numFmtId="165" fontId="1" fillId="4" borderId="0" xfId="18" applyNumberFormat="1" applyFont="1" applyFill="1" applyBorder="1" applyAlignment="1">
      <alignment vertical="center"/>
    </xf>
    <xf numFmtId="165" fontId="1" fillId="4" borderId="0" xfId="18" applyNumberFormat="1" applyFont="1" applyFill="1" applyBorder="1" applyAlignment="1">
      <alignment horizontal="right" vertical="center"/>
    </xf>
    <xf numFmtId="3" fontId="1" fillId="4" borderId="0" xfId="0" applyNumberFormat="1" applyFont="1" applyFill="1"/>
    <xf numFmtId="165" fontId="1" fillId="4" borderId="0" xfId="18" applyNumberFormat="1" applyFont="1" applyFill="1" applyBorder="1" applyAlignment="1">
      <alignment horizontal="center" vertical="center"/>
    </xf>
    <xf numFmtId="165" fontId="11" fillId="5" borderId="0" xfId="18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0" fillId="0" borderId="0" xfId="13" applyFont="1" applyAlignment="1">
      <alignment horizontal="left" vertical="center"/>
    </xf>
    <xf numFmtId="0" fontId="13" fillId="2" borderId="5" xfId="13" applyFont="1" applyFill="1" applyBorder="1" applyAlignment="1">
      <alignment horizontal="left" vertical="center" wrapText="1"/>
    </xf>
    <xf numFmtId="0" fontId="13" fillId="2" borderId="5" xfId="13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2" fillId="2" borderId="0" xfId="17" applyFont="1" applyFill="1" applyAlignment="1">
      <alignment horizontal="left" vertical="center" wrapText="1"/>
    </xf>
    <xf numFmtId="0" fontId="14" fillId="3" borderId="2" xfId="13" applyFont="1" applyFill="1" applyBorder="1" applyAlignment="1">
      <alignment horizontal="center" vertical="center"/>
    </xf>
  </cellXfs>
  <cellStyles count="19">
    <cellStyle name="Cabecera 1" xfId="1"/>
    <cellStyle name="Cabecera 2" xfId="2"/>
    <cellStyle name="Comma0" xfId="3"/>
    <cellStyle name="Currency0" xfId="4"/>
    <cellStyle name="Date" xfId="5"/>
    <cellStyle name="ESTI1 - Modelo1" xfId="6"/>
    <cellStyle name="Euro" xfId="7"/>
    <cellStyle name="Fecha" xfId="8"/>
    <cellStyle name="Fijo" xfId="9"/>
    <cellStyle name="Fixed" xfId="10"/>
    <cellStyle name="Millares 3" xfId="18"/>
    <cellStyle name="Monetario" xfId="11"/>
    <cellStyle name="Monetario0" xfId="12"/>
    <cellStyle name="Normal" xfId="0" builtinId="0"/>
    <cellStyle name="Normal_C1 (2)" xfId="17"/>
    <cellStyle name="Normal_Cuadros tasas trimestrales" xfId="13"/>
    <cellStyle name="Punto" xfId="14"/>
    <cellStyle name="Punto0" xfId="15"/>
    <cellStyle name="Total" xfId="1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series\afiliad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zeta\Provincia\San%20Luis\cnslu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bsr\pachi\INFORMEC\Cua2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ebione\CONFIG~1\Temp\Indicadores%202005\Cuadro%20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financiero\comunicado%20estad&#237;stico\GENERA%20CUADRO%20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BEL\PRGS\CUADROS\ESPECI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ili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st. financiero_san Luis"/>
      <sheetName val="Cuadro E"/>
      <sheetName val="B.1"/>
      <sheetName val="Hoja1"/>
      <sheetName val="expo"/>
      <sheetName val="anotaciones"/>
      <sheetName val="Cuadro A.1"/>
      <sheetName val="Cuadro A.2"/>
      <sheetName val="Cuadro A.3"/>
      <sheetName val="Cuadro A.4"/>
      <sheetName val="Cuadro A.5"/>
      <sheetName val="Cuadro A.6"/>
      <sheetName val="Cuadro A.7"/>
      <sheetName val="Cuadro A.8"/>
      <sheetName val="Cuadro A.9"/>
      <sheetName val="Cuadro A.10"/>
      <sheetName val="Cuadro B.1"/>
      <sheetName val="Cuadro B.2-4.- "/>
      <sheetName val="Cuadro C1.2"/>
      <sheetName val="Cuadro C.3-4"/>
      <sheetName val="Cuadro 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1"/>
      <sheetName val="cuadro 1"/>
      <sheetName val="cua5.3"/>
      <sheetName val="cua 5.2  5.7 "/>
      <sheetName val="5.4 graf 2"/>
      <sheetName val="cua 5.5"/>
      <sheetName val="cua 5.6"/>
      <sheetName val="hoja6"/>
      <sheetName val="5.8 graf  5.3"/>
      <sheetName val="cua 5.9"/>
      <sheetName val="cuadro 5.9"/>
      <sheetName val="cua 5.10"/>
      <sheetName val="cua5.11"/>
      <sheetName val=" gráf 5.4deuda exportaciones"/>
      <sheetName val="anexo 5.1"/>
      <sheetName val="ANEX5.2"/>
      <sheetName val="anex5.4"/>
      <sheetName val="ANEX5.3"/>
      <sheetName val="APERT"/>
      <sheetName val="Hoja10"/>
      <sheetName val="Hoja11"/>
      <sheetName val="Hoja12"/>
      <sheetName val="Hoja13"/>
      <sheetName val="Hoja14"/>
      <sheetName val="Hoja15"/>
      <sheetName val="Hoja16"/>
      <sheetName val="Módul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"/>
      <sheetName val="C13"/>
    </sheetNames>
    <sheetDataSet>
      <sheetData sheetId="0">
        <row r="1">
          <cell r="A1" t="str">
            <v>ANIOMES</v>
          </cell>
          <cell r="B1" t="str">
            <v>VALOR</v>
          </cell>
          <cell r="C1" t="str">
            <v>COE_ENGEL</v>
          </cell>
        </row>
        <row r="2">
          <cell r="B2" t="str">
            <v>Canasta basica alimentaria</v>
          </cell>
        </row>
        <row r="4">
          <cell r="A4" t="str">
            <v>200201</v>
          </cell>
          <cell r="B4">
            <v>62.41</v>
          </cell>
          <cell r="C4">
            <v>2.4700000000000002</v>
          </cell>
        </row>
        <row r="5">
          <cell r="A5" t="str">
            <v>200202</v>
          </cell>
          <cell r="B5">
            <v>65.819999999999993</v>
          </cell>
          <cell r="C5">
            <v>2.4500000000000002</v>
          </cell>
        </row>
        <row r="6">
          <cell r="A6" t="str">
            <v>200203</v>
          </cell>
          <cell r="B6">
            <v>69.83</v>
          </cell>
          <cell r="C6">
            <v>2.4300000000000002</v>
          </cell>
        </row>
        <row r="7">
          <cell r="A7" t="str">
            <v>200204</v>
          </cell>
          <cell r="B7">
            <v>81.760000000000005</v>
          </cell>
          <cell r="C7">
            <v>2.37</v>
          </cell>
        </row>
        <row r="8">
          <cell r="A8" t="str">
            <v>200205</v>
          </cell>
          <cell r="B8">
            <v>86.2</v>
          </cell>
          <cell r="C8">
            <v>2.35</v>
          </cell>
        </row>
        <row r="9">
          <cell r="A9" t="str">
            <v>200206</v>
          </cell>
          <cell r="B9">
            <v>90.67</v>
          </cell>
          <cell r="C9">
            <v>2.3199999999999998</v>
          </cell>
        </row>
        <row r="10">
          <cell r="A10" t="str">
            <v>200207</v>
          </cell>
          <cell r="B10">
            <v>94.93</v>
          </cell>
          <cell r="C10">
            <v>2.2999999999999998</v>
          </cell>
        </row>
        <row r="11">
          <cell r="A11" t="str">
            <v>200208</v>
          </cell>
          <cell r="B11">
            <v>100.94</v>
          </cell>
          <cell r="C11">
            <v>2.25</v>
          </cell>
        </row>
        <row r="12">
          <cell r="A12" t="str">
            <v>200209</v>
          </cell>
          <cell r="B12">
            <v>104.87</v>
          </cell>
          <cell r="C12">
            <v>2.21</v>
          </cell>
        </row>
        <row r="13">
          <cell r="A13" t="str">
            <v>200210</v>
          </cell>
          <cell r="B13">
            <v>103.74</v>
          </cell>
          <cell r="C13">
            <v>2.2200000000000002</v>
          </cell>
        </row>
        <row r="14">
          <cell r="A14" t="str">
            <v>200211</v>
          </cell>
          <cell r="B14">
            <v>105.08</v>
          </cell>
          <cell r="C14">
            <v>2.21</v>
          </cell>
        </row>
        <row r="15">
          <cell r="A15" t="str">
            <v>200212</v>
          </cell>
          <cell r="B15">
            <v>105.72</v>
          </cell>
          <cell r="C15">
            <v>2.2000000000000002</v>
          </cell>
        </row>
        <row r="16">
          <cell r="A16" t="str">
            <v>200301</v>
          </cell>
          <cell r="B16">
            <v>106.92</v>
          </cell>
          <cell r="C16">
            <v>2.2000000000000002</v>
          </cell>
        </row>
        <row r="17">
          <cell r="A17" t="str">
            <v>200302</v>
          </cell>
          <cell r="B17">
            <v>107.56</v>
          </cell>
          <cell r="C17">
            <v>2.19</v>
          </cell>
        </row>
        <row r="18">
          <cell r="A18" t="str">
            <v>200303</v>
          </cell>
          <cell r="B18">
            <v>107.83</v>
          </cell>
          <cell r="C18">
            <v>2.17</v>
          </cell>
        </row>
        <row r="19">
          <cell r="A19" t="str">
            <v>200304</v>
          </cell>
          <cell r="B19">
            <v>106.55</v>
          </cell>
          <cell r="C19">
            <v>2.1800000000000002</v>
          </cell>
        </row>
        <row r="20">
          <cell r="A20" t="str">
            <v>200305</v>
          </cell>
          <cell r="B20">
            <v>104.6</v>
          </cell>
          <cell r="C20">
            <v>2.19</v>
          </cell>
        </row>
        <row r="21">
          <cell r="A21" t="str">
            <v>200306</v>
          </cell>
          <cell r="B21">
            <v>103.13</v>
          </cell>
          <cell r="C21">
            <v>2.21</v>
          </cell>
        </row>
        <row r="22">
          <cell r="A22" t="str">
            <v>200307</v>
          </cell>
          <cell r="B22">
            <v>102.31</v>
          </cell>
          <cell r="C22">
            <v>2.2200000000000002</v>
          </cell>
        </row>
        <row r="23">
          <cell r="A23" t="str">
            <v>200308</v>
          </cell>
          <cell r="B23">
            <v>102.08</v>
          </cell>
          <cell r="C23">
            <v>2.21</v>
          </cell>
        </row>
        <row r="24">
          <cell r="A24" t="str">
            <v>200309</v>
          </cell>
          <cell r="B24">
            <v>101.99</v>
          </cell>
          <cell r="C24">
            <v>2.2000000000000002</v>
          </cell>
        </row>
        <row r="25">
          <cell r="A25" t="str">
            <v>200310</v>
          </cell>
          <cell r="B25">
            <v>104.12</v>
          </cell>
          <cell r="C25">
            <v>2.19</v>
          </cell>
        </row>
        <row r="26">
          <cell r="A26" t="str">
            <v>200311</v>
          </cell>
          <cell r="B26">
            <v>105.24</v>
          </cell>
          <cell r="C26">
            <v>2.1800000000000002</v>
          </cell>
        </row>
        <row r="27">
          <cell r="A27" t="str">
            <v>200312</v>
          </cell>
          <cell r="B27">
            <v>105.76</v>
          </cell>
          <cell r="C27">
            <v>2.19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 CUADRO 16"/>
    </sheetNames>
    <definedNames>
      <definedName name="BORRA_CUADROS"/>
      <definedName name="TRANSFERENCIA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 66"/>
      <sheetName val="Varones"/>
      <sheetName val="Mujeres"/>
      <sheetName val="cua 65"/>
      <sheetName val="Tablita"/>
      <sheetName val="TD"/>
      <sheetName val="DATOS"/>
    </sheetNames>
    <sheetDataSet>
      <sheetData sheetId="0"/>
      <sheetData sheetId="1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40.217922194293912</v>
          </cell>
          <cell r="D78">
            <v>43.82994176040534</v>
          </cell>
          <cell r="E78">
            <v>42.017258935320612</v>
          </cell>
          <cell r="F78">
            <v>44.44812722347784</v>
          </cell>
          <cell r="G78">
            <v>44.072984231844956</v>
          </cell>
          <cell r="H78">
            <v>44.773963520782239</v>
          </cell>
          <cell r="I78">
            <v>45.945446052844332</v>
          </cell>
          <cell r="J78">
            <v>46.469759528076906</v>
          </cell>
          <cell r="K78">
            <v>45.85851872275807</v>
          </cell>
          <cell r="L78">
            <v>43.602998656225203</v>
          </cell>
          <cell r="M78">
            <v>41.129391708083581</v>
          </cell>
          <cell r="N78">
            <v>41.099927307953948</v>
          </cell>
          <cell r="O78">
            <v>41.674297106691775</v>
          </cell>
          <cell r="P78">
            <v>41.613967761967679</v>
          </cell>
          <cell r="Q78">
            <v>42.825515510024928</v>
          </cell>
          <cell r="R78">
            <v>44.193791283475299</v>
          </cell>
          <cell r="S78">
            <v>45.212387123463685</v>
          </cell>
          <cell r="T78">
            <v>44.499204994054438</v>
          </cell>
          <cell r="U78">
            <v>44.685519383992869</v>
          </cell>
          <cell r="V78">
            <v>42.909900595558284</v>
          </cell>
        </row>
        <row r="79">
          <cell r="B79" t="str">
            <v>Capital Federal</v>
          </cell>
          <cell r="C79">
            <v>44.16382963118933</v>
          </cell>
          <cell r="D79">
            <v>46.578351767159958</v>
          </cell>
          <cell r="E79">
            <v>43.736013385594838</v>
          </cell>
          <cell r="F79">
            <v>46.385318624970481</v>
          </cell>
          <cell r="G79">
            <v>41.349899745757227</v>
          </cell>
          <cell r="H79">
            <v>44.615884941838431</v>
          </cell>
          <cell r="I79">
            <v>47.926108009550376</v>
          </cell>
          <cell r="J79">
            <v>47.377189361325705</v>
          </cell>
          <cell r="K79">
            <v>50.111471258609583</v>
          </cell>
          <cell r="L79">
            <v>45.17848341630593</v>
          </cell>
          <cell r="M79">
            <v>44.40459304550145</v>
          </cell>
          <cell r="N79">
            <v>48.229720466521307</v>
          </cell>
          <cell r="O79">
            <v>47.698797686089904</v>
          </cell>
          <cell r="P79">
            <v>50.19509977960157</v>
          </cell>
          <cell r="Q79">
            <v>49.903101379013812</v>
          </cell>
          <cell r="R79">
            <v>49.04876288146562</v>
          </cell>
          <cell r="S79">
            <v>49.942785615954065</v>
          </cell>
          <cell r="T79">
            <v>49.042511563018756</v>
          </cell>
          <cell r="U79">
            <v>51.280469755350197</v>
          </cell>
          <cell r="V79">
            <v>47.702331877793277</v>
          </cell>
        </row>
        <row r="80">
          <cell r="B80" t="str">
            <v>Partidos del Conurbano</v>
          </cell>
          <cell r="C80">
            <v>40.512871412460591</v>
          </cell>
          <cell r="D80">
            <v>46.430602642081141</v>
          </cell>
          <cell r="E80">
            <v>44.154435272053952</v>
          </cell>
          <cell r="F80">
            <v>46.066638279753036</v>
          </cell>
          <cell r="G80">
            <v>45.848401670616553</v>
          </cell>
          <cell r="H80">
            <v>44.709194240418555</v>
          </cell>
          <cell r="I80">
            <v>47.131410690609172</v>
          </cell>
          <cell r="J80">
            <v>48.30430239694293</v>
          </cell>
          <cell r="K80">
            <v>46.054801017791405</v>
          </cell>
          <cell r="L80">
            <v>43.161077845098433</v>
          </cell>
          <cell r="M80">
            <v>41.457394673973809</v>
          </cell>
          <cell r="N80">
            <v>39.828327624499224</v>
          </cell>
          <cell r="O80">
            <v>40.629770730200626</v>
          </cell>
          <cell r="P80">
            <v>38.76873265774308</v>
          </cell>
          <cell r="Q80">
            <v>41.730868294584532</v>
          </cell>
          <cell r="R80">
            <v>43.004128719136418</v>
          </cell>
          <cell r="S80">
            <v>43.835823335565664</v>
          </cell>
          <cell r="T80">
            <v>43.254722562488666</v>
          </cell>
          <cell r="U80">
            <v>41.575240814407806</v>
          </cell>
          <cell r="V80">
            <v>40.771831917488271</v>
          </cell>
        </row>
        <row r="81">
          <cell r="B81" t="str">
            <v>Gran Buenos Aires</v>
          </cell>
          <cell r="C81">
            <v>41.565918937343184</v>
          </cell>
          <cell r="D81">
            <v>46.472216249210987</v>
          </cell>
          <cell r="E81">
            <v>44.037261510996231</v>
          </cell>
          <cell r="F81">
            <v>46.153328486608459</v>
          </cell>
          <cell r="G81">
            <v>44.645665494392205</v>
          </cell>
          <cell r="H81">
            <v>44.683864677477253</v>
          </cell>
          <cell r="I81">
            <v>47.344266982043429</v>
          </cell>
          <cell r="J81">
            <v>48.062028445757214</v>
          </cell>
          <cell r="K81">
            <v>47.101844573131274</v>
          </cell>
          <cell r="L81">
            <v>43.67745649590141</v>
          </cell>
          <cell r="M81">
            <v>42.195401750055169</v>
          </cell>
          <cell r="N81">
            <v>42.039491391333428</v>
          </cell>
          <cell r="O81">
            <v>42.517790271295546</v>
          </cell>
          <cell r="P81">
            <v>41.744795505701155</v>
          </cell>
          <cell r="Q81">
            <v>43.797680930653598</v>
          </cell>
          <cell r="R81">
            <v>44.522959578570124</v>
          </cell>
          <cell r="S81">
            <v>45.358500885833394</v>
          </cell>
          <cell r="T81">
            <v>44.756029288085671</v>
          </cell>
          <cell r="U81">
            <v>44.041584177113599</v>
          </cell>
          <cell r="V81">
            <v>42.523934898558529</v>
          </cell>
        </row>
        <row r="82">
          <cell r="B82" t="str">
            <v>Bahía Blanca</v>
          </cell>
          <cell r="C82">
            <v>43.410921979478474</v>
          </cell>
          <cell r="D82">
            <v>46.579634464751955</v>
          </cell>
          <cell r="E82">
            <v>37.936762087180334</v>
          </cell>
          <cell r="F82">
            <v>43.172930535239857</v>
          </cell>
          <cell r="G82">
            <v>43.652695491098335</v>
          </cell>
          <cell r="H82">
            <v>43.752624947501047</v>
          </cell>
          <cell r="I82">
            <v>44.605839630685992</v>
          </cell>
          <cell r="J82">
            <v>45.436194862609639</v>
          </cell>
          <cell r="K82">
            <v>42.559970014992501</v>
          </cell>
          <cell r="L82">
            <v>39.384343853820596</v>
          </cell>
          <cell r="M82">
            <v>38.672581337565532</v>
          </cell>
          <cell r="N82">
            <v>37.936195689360247</v>
          </cell>
          <cell r="O82">
            <v>43.431642593214647</v>
          </cell>
          <cell r="P82">
            <v>43.214400156038842</v>
          </cell>
          <cell r="Q82">
            <v>43.214400156038842</v>
          </cell>
          <cell r="R82">
            <v>48.548708870718485</v>
          </cell>
          <cell r="S82">
            <v>51.866460254425526</v>
          </cell>
          <cell r="T82">
            <v>47.375863601470648</v>
          </cell>
          <cell r="U82">
            <v>51.182072679052204</v>
          </cell>
          <cell r="V82" t="str">
            <v>...</v>
          </cell>
        </row>
        <row r="83">
          <cell r="B83" t="str">
            <v>Gran La Plata</v>
          </cell>
          <cell r="C83">
            <v>36.191593770002136</v>
          </cell>
          <cell r="D83">
            <v>36.611422707656843</v>
          </cell>
          <cell r="E83">
            <v>43.594886430891847</v>
          </cell>
          <cell r="F83">
            <v>46.748455177573952</v>
          </cell>
          <cell r="G83">
            <v>47.725495224052821</v>
          </cell>
          <cell r="H83">
            <v>50.591818919892319</v>
          </cell>
          <cell r="I83">
            <v>44.454325619925321</v>
          </cell>
          <cell r="J83">
            <v>45.604926047403922</v>
          </cell>
          <cell r="K83">
            <v>47.877143759638791</v>
          </cell>
          <cell r="L83">
            <v>41.087035742662387</v>
          </cell>
          <cell r="M83">
            <v>39.781774217923534</v>
          </cell>
          <cell r="N83">
            <v>40.622187320668097</v>
          </cell>
          <cell r="O83">
            <v>38.654151815817364</v>
          </cell>
          <cell r="P83">
            <v>42.132769535936141</v>
          </cell>
          <cell r="Q83">
            <v>42.132769535936141</v>
          </cell>
          <cell r="R83">
            <v>45.909272864274278</v>
          </cell>
          <cell r="S83">
            <v>48.107567456979837</v>
          </cell>
          <cell r="T83">
            <v>45.324804272899499</v>
          </cell>
          <cell r="U83">
            <v>48.067055360707315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40.767821979868081</v>
          </cell>
          <cell r="O84">
            <v>46.697730187519447</v>
          </cell>
          <cell r="P84">
            <v>47.183602779236189</v>
          </cell>
          <cell r="Q84">
            <v>39.768689562116485</v>
          </cell>
          <cell r="R84">
            <v>42.586382854643531</v>
          </cell>
          <cell r="S84">
            <v>46.858466643709107</v>
          </cell>
          <cell r="T84">
            <v>48.455571610812513</v>
          </cell>
          <cell r="U84">
            <v>54.111647741869184</v>
          </cell>
          <cell r="V84" t="str">
            <v>...</v>
          </cell>
        </row>
        <row r="85">
          <cell r="B85" t="str">
            <v>Gran Catamarca</v>
          </cell>
          <cell r="C85">
            <v>37.847939844334022</v>
          </cell>
          <cell r="D85">
            <v>37.436110533970499</v>
          </cell>
          <cell r="E85">
            <v>36.607843137254903</v>
          </cell>
          <cell r="F85">
            <v>41.31047346906378</v>
          </cell>
          <cell r="G85">
            <v>40.799712678079729</v>
          </cell>
          <cell r="H85">
            <v>42.733690829829094</v>
          </cell>
          <cell r="I85">
            <v>47.153926389509756</v>
          </cell>
          <cell r="J85">
            <v>48.144642180992051</v>
          </cell>
          <cell r="K85">
            <v>41.972602739726028</v>
          </cell>
          <cell r="L85">
            <v>44.495707748742582</v>
          </cell>
          <cell r="M85">
            <v>42.110523004034498</v>
          </cell>
          <cell r="N85">
            <v>40.40681693238043</v>
          </cell>
          <cell r="O85">
            <v>43.149158006653629</v>
          </cell>
          <cell r="P85">
            <v>42.742064380014703</v>
          </cell>
          <cell r="Q85">
            <v>40.443005724904836</v>
          </cell>
          <cell r="R85">
            <v>44.054647173368778</v>
          </cell>
          <cell r="S85">
            <v>42.86909122371874</v>
          </cell>
          <cell r="T85">
            <v>45.709019698191447</v>
          </cell>
          <cell r="U85">
            <v>44.033677974933497</v>
          </cell>
          <cell r="V85">
            <v>45.850280312190833</v>
          </cell>
        </row>
        <row r="86">
          <cell r="B86" t="str">
            <v>Gran Córdoba</v>
          </cell>
          <cell r="C86">
            <v>37.570727050020537</v>
          </cell>
          <cell r="D86">
            <v>41.597172627222619</v>
          </cell>
          <cell r="E86">
            <v>39.66884922414566</v>
          </cell>
          <cell r="F86">
            <v>42.071408128219808</v>
          </cell>
          <cell r="G86">
            <v>46.448634144444483</v>
          </cell>
          <cell r="H86">
            <v>47.046042950049845</v>
          </cell>
          <cell r="I86">
            <v>47.306251800633824</v>
          </cell>
          <cell r="J86">
            <v>45.31591442033352</v>
          </cell>
          <cell r="K86">
            <v>45.604149589105262</v>
          </cell>
          <cell r="L86">
            <v>47.293972731610417</v>
          </cell>
          <cell r="M86">
            <v>42.675187809061079</v>
          </cell>
          <cell r="N86">
            <v>38.707727873183615</v>
          </cell>
          <cell r="O86">
            <v>39.027273383987968</v>
          </cell>
          <cell r="P86" t="str">
            <v>...</v>
          </cell>
          <cell r="Q86">
            <v>41.426736456761184</v>
          </cell>
          <cell r="R86">
            <v>38.409146490584497</v>
          </cell>
          <cell r="S86">
            <v>41.838676897618129</v>
          </cell>
          <cell r="T86">
            <v>42.927181409065078</v>
          </cell>
          <cell r="U86">
            <v>42.445271231206824</v>
          </cell>
          <cell r="V86">
            <v>44.07741568939857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45.2181505634533</v>
          </cell>
          <cell r="O87">
            <v>38.827422939414433</v>
          </cell>
          <cell r="P87">
            <v>41.809082947579128</v>
          </cell>
          <cell r="Q87">
            <v>39.979479286905217</v>
          </cell>
          <cell r="R87">
            <v>39.75903614457831</v>
          </cell>
          <cell r="S87">
            <v>42.432499999999997</v>
          </cell>
          <cell r="T87">
            <v>47.711466165413533</v>
          </cell>
          <cell r="U87">
            <v>43.728899606549057</v>
          </cell>
          <cell r="V87" t="str">
            <v>...</v>
          </cell>
        </row>
        <row r="88">
          <cell r="B88" t="str">
            <v>Corrientes</v>
          </cell>
          <cell r="C88">
            <v>31.581445523193096</v>
          </cell>
          <cell r="D88">
            <v>35.421324161650901</v>
          </cell>
          <cell r="E88">
            <v>30.744859554742821</v>
          </cell>
          <cell r="F88">
            <v>33.945213831547775</v>
          </cell>
          <cell r="G88" t="str">
            <v>...</v>
          </cell>
          <cell r="H88">
            <v>29.546785846006983</v>
          </cell>
          <cell r="I88">
            <v>31.702293717209386</v>
          </cell>
          <cell r="J88">
            <v>34.403146268900031</v>
          </cell>
          <cell r="K88">
            <v>40.660258237953641</v>
          </cell>
          <cell r="L88">
            <v>41.7861367874401</v>
          </cell>
          <cell r="M88">
            <v>40.73321363035457</v>
          </cell>
          <cell r="N88">
            <v>37.781215063479181</v>
          </cell>
          <cell r="O88">
            <v>39.899503411284499</v>
          </cell>
          <cell r="P88">
            <v>40.247293822139824</v>
          </cell>
          <cell r="Q88">
            <v>42.711142861308332</v>
          </cell>
          <cell r="R88">
            <v>44.340245117996382</v>
          </cell>
          <cell r="S88">
            <v>46.730588300404008</v>
          </cell>
          <cell r="T88">
            <v>37.74610886698116</v>
          </cell>
          <cell r="U88">
            <v>45.920912486012057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36.396933144503592</v>
          </cell>
          <cell r="D89">
            <v>37.336748966666143</v>
          </cell>
          <cell r="E89">
            <v>40.622208290886299</v>
          </cell>
          <cell r="F89">
            <v>37.940981745956684</v>
          </cell>
          <cell r="G89">
            <v>39.786056113352721</v>
          </cell>
          <cell r="H89">
            <v>40.835156033393922</v>
          </cell>
          <cell r="I89">
            <v>40.413504723555832</v>
          </cell>
          <cell r="J89">
            <v>39.257115734999161</v>
          </cell>
          <cell r="K89">
            <v>42.596048759983184</v>
          </cell>
          <cell r="L89">
            <v>44.514320983535455</v>
          </cell>
          <cell r="M89">
            <v>43.053245948677819</v>
          </cell>
          <cell r="N89">
            <v>40.835930495666652</v>
          </cell>
          <cell r="O89">
            <v>42.864590478803677</v>
          </cell>
          <cell r="P89">
            <v>44.866649945656718</v>
          </cell>
          <cell r="Q89">
            <v>41.425887443422816</v>
          </cell>
          <cell r="R89">
            <v>47.23493568043331</v>
          </cell>
          <cell r="S89">
            <v>47.039508809396693</v>
          </cell>
          <cell r="T89">
            <v>46.864163929707026</v>
          </cell>
          <cell r="U89">
            <v>44.618612688225127</v>
          </cell>
          <cell r="V89">
            <v>42.003567961801821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50.365963808515282</v>
          </cell>
          <cell r="F90" t="str">
            <v>...</v>
          </cell>
          <cell r="G90">
            <v>46.87833827893175</v>
          </cell>
          <cell r="H90">
            <v>51.71102661596958</v>
          </cell>
          <cell r="I90">
            <v>49.892061175468996</v>
          </cell>
          <cell r="J90">
            <v>58.118178163940506</v>
          </cell>
          <cell r="K90">
            <v>52.461190655614168</v>
          </cell>
          <cell r="L90">
            <v>54.682798395185564</v>
          </cell>
          <cell r="M90">
            <v>52.039825918156488</v>
          </cell>
          <cell r="N90">
            <v>51.705313077283634</v>
          </cell>
          <cell r="O90">
            <v>52.888066707162182</v>
          </cell>
          <cell r="P90">
            <v>56.050460681379896</v>
          </cell>
          <cell r="Q90">
            <v>55.464649998654359</v>
          </cell>
          <cell r="R90">
            <v>56.115417743324727</v>
          </cell>
          <cell r="S90">
            <v>54.232625733118802</v>
          </cell>
          <cell r="T90">
            <v>54.894994473393332</v>
          </cell>
          <cell r="U90">
            <v>50.696408559688358</v>
          </cell>
          <cell r="V90" t="str">
            <v>...</v>
          </cell>
        </row>
        <row r="91">
          <cell r="B91" t="str">
            <v>Paraná</v>
          </cell>
          <cell r="C91">
            <v>31.807074565253497</v>
          </cell>
          <cell r="D91">
            <v>32.970990029932707</v>
          </cell>
          <cell r="E91">
            <v>35.333090332125472</v>
          </cell>
          <cell r="F91">
            <v>35.0391678438423</v>
          </cell>
          <cell r="G91">
            <v>34.828996124196088</v>
          </cell>
          <cell r="H91">
            <v>41.953913941770502</v>
          </cell>
          <cell r="I91">
            <v>40.33013419577042</v>
          </cell>
          <cell r="J91">
            <v>38.237286604642762</v>
          </cell>
          <cell r="K91">
            <v>39.492301290054101</v>
          </cell>
          <cell r="L91">
            <v>41.697923337297595</v>
          </cell>
          <cell r="M91">
            <v>40.276080561212943</v>
          </cell>
          <cell r="N91">
            <v>41.510813280536098</v>
          </cell>
          <cell r="O91">
            <v>41.136045150020159</v>
          </cell>
          <cell r="P91">
            <v>39.641090963584595</v>
          </cell>
          <cell r="Q91">
            <v>39.781526286893474</v>
          </cell>
          <cell r="R91">
            <v>40.616868934343721</v>
          </cell>
          <cell r="S91">
            <v>40.932584687465138</v>
          </cell>
          <cell r="T91">
            <v>43.236478207596704</v>
          </cell>
          <cell r="U91">
            <v>45.830268047460052</v>
          </cell>
          <cell r="V91">
            <v>45.917054856427725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43.688064021794652</v>
          </cell>
          <cell r="O92">
            <v>44.495250248121366</v>
          </cell>
          <cell r="P92">
            <v>42.722077922077922</v>
          </cell>
          <cell r="Q92">
            <v>43.974549604066532</v>
          </cell>
          <cell r="R92">
            <v>50.667388167388175</v>
          </cell>
          <cell r="S92">
            <v>52.314008868451303</v>
          </cell>
          <cell r="T92">
            <v>51.488114835056301</v>
          </cell>
          <cell r="U92">
            <v>52.824769599798003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36.968013011656275</v>
          </cell>
          <cell r="E93">
            <v>26.649305555555557</v>
          </cell>
          <cell r="F93">
            <v>34.567134923227705</v>
          </cell>
          <cell r="G93">
            <v>36.017938895636739</v>
          </cell>
          <cell r="H93">
            <v>33.754439075507946</v>
          </cell>
          <cell r="I93">
            <v>37.337996297058218</v>
          </cell>
          <cell r="J93">
            <v>37.093820158336285</v>
          </cell>
          <cell r="K93">
            <v>40.258625791560632</v>
          </cell>
          <cell r="L93">
            <v>37.497996045529845</v>
          </cell>
          <cell r="M93">
            <v>32.348588177254129</v>
          </cell>
          <cell r="N93">
            <v>34.956376515304214</v>
          </cell>
          <cell r="O93">
            <v>34.275733203347144</v>
          </cell>
          <cell r="P93">
            <v>38.055728223561523</v>
          </cell>
          <cell r="Q93">
            <v>45.780871197309772</v>
          </cell>
          <cell r="R93">
            <v>56.538303874996984</v>
          </cell>
          <cell r="S93">
            <v>52.528809218950066</v>
          </cell>
          <cell r="T93">
            <v>45.588710278516238</v>
          </cell>
          <cell r="U93">
            <v>51.178774843190503</v>
          </cell>
          <cell r="V93" t="str">
            <v>...</v>
          </cell>
        </row>
        <row r="94">
          <cell r="B94" t="str">
            <v xml:space="preserve">S.S. de Jujuy </v>
          </cell>
          <cell r="C94">
            <v>39.290478913120424</v>
          </cell>
          <cell r="D94">
            <v>41.34082655144077</v>
          </cell>
          <cell r="E94">
            <v>41.181208053691279</v>
          </cell>
          <cell r="F94">
            <v>38.886310904872389</v>
          </cell>
          <cell r="G94">
            <v>39.2189552389613</v>
          </cell>
          <cell r="H94">
            <v>40.871012922491481</v>
          </cell>
          <cell r="I94">
            <v>36.632761499924094</v>
          </cell>
          <cell r="J94">
            <v>43.653242677824267</v>
          </cell>
          <cell r="K94">
            <v>41.500090273658145</v>
          </cell>
          <cell r="L94">
            <v>40.301167475978922</v>
          </cell>
          <cell r="M94">
            <v>34.33625680141121</v>
          </cell>
          <cell r="N94">
            <v>40.185825675869268</v>
          </cell>
          <cell r="O94">
            <v>41.189511021028629</v>
          </cell>
          <cell r="P94">
            <v>42.562146248419133</v>
          </cell>
          <cell r="Q94">
            <v>37.736397457758486</v>
          </cell>
          <cell r="R94">
            <v>35.005945731685344</v>
          </cell>
          <cell r="S94">
            <v>42.833459473096191</v>
          </cell>
          <cell r="T94">
            <v>40.163592505939747</v>
          </cell>
          <cell r="U94">
            <v>42.805538832028901</v>
          </cell>
          <cell r="V94">
            <v>40.311373197115387</v>
          </cell>
        </row>
        <row r="95">
          <cell r="B95" t="str">
            <v xml:space="preserve">Santa Rosa y Toay </v>
          </cell>
          <cell r="C95">
            <v>49.717188645647845</v>
          </cell>
          <cell r="D95">
            <v>47.506647132237234</v>
          </cell>
          <cell r="E95">
            <v>41.169876694181191</v>
          </cell>
          <cell r="F95">
            <v>40.654699049630409</v>
          </cell>
          <cell r="G95">
            <v>44.26654695994813</v>
          </cell>
          <cell r="H95">
            <v>46.1825868934664</v>
          </cell>
          <cell r="I95">
            <v>47.624593584704229</v>
          </cell>
          <cell r="J95">
            <v>50.821852731591441</v>
          </cell>
          <cell r="K95">
            <v>50.675706840090406</v>
          </cell>
          <cell r="L95">
            <v>46.494360902255636</v>
          </cell>
          <cell r="M95">
            <v>44.351099481246841</v>
          </cell>
          <cell r="N95">
            <v>45.833680874134622</v>
          </cell>
          <cell r="O95">
            <v>48.235191713452586</v>
          </cell>
          <cell r="P95">
            <v>49.857142857142854</v>
          </cell>
          <cell r="Q95">
            <v>48.869188337273442</v>
          </cell>
          <cell r="R95">
            <v>47.846147726820732</v>
          </cell>
          <cell r="S95">
            <v>47.759433962264154</v>
          </cell>
          <cell r="T95">
            <v>46.282790484554582</v>
          </cell>
          <cell r="U95">
            <v>46.8107948025025</v>
          </cell>
          <cell r="V95">
            <v>43.69938807665531</v>
          </cell>
        </row>
        <row r="96">
          <cell r="B96" t="str">
            <v>La Rioja</v>
          </cell>
          <cell r="C96">
            <v>33.141542002301492</v>
          </cell>
          <cell r="D96">
            <v>33.629054616024398</v>
          </cell>
          <cell r="E96">
            <v>34.864567275930412</v>
          </cell>
          <cell r="F96">
            <v>39.461981164980813</v>
          </cell>
          <cell r="G96">
            <v>32.911168968712765</v>
          </cell>
          <cell r="H96">
            <v>37.744281833318723</v>
          </cell>
          <cell r="I96">
            <v>39.968022462270405</v>
          </cell>
          <cell r="J96">
            <v>36.605504587155963</v>
          </cell>
          <cell r="K96">
            <v>37.694198009079926</v>
          </cell>
          <cell r="L96">
            <v>38.121278405638598</v>
          </cell>
          <cell r="M96">
            <v>34.831024715787841</v>
          </cell>
          <cell r="N96">
            <v>36.538532550496662</v>
          </cell>
          <cell r="O96">
            <v>35.042061929479146</v>
          </cell>
          <cell r="P96">
            <v>40.32492022048158</v>
          </cell>
          <cell r="Q96">
            <v>42.722904431393488</v>
          </cell>
          <cell r="R96">
            <v>43.164362519201227</v>
          </cell>
          <cell r="S96">
            <v>42.898370117731936</v>
          </cell>
          <cell r="T96">
            <v>41.286307053941904</v>
          </cell>
          <cell r="U96">
            <v>41.867291075786554</v>
          </cell>
          <cell r="V96">
            <v>43.11575011684063</v>
          </cell>
        </row>
        <row r="97">
          <cell r="B97" t="str">
            <v>Gran Mendoza</v>
          </cell>
          <cell r="C97">
            <v>41.328815939076222</v>
          </cell>
          <cell r="D97">
            <v>40.865742861244605</v>
          </cell>
          <cell r="E97">
            <v>44.78636945321032</v>
          </cell>
          <cell r="F97">
            <v>49.516648764769066</v>
          </cell>
          <cell r="G97">
            <v>50.315789473684212</v>
          </cell>
          <cell r="H97">
            <v>51.460221550855991</v>
          </cell>
          <cell r="I97">
            <v>52.380952380952387</v>
          </cell>
          <cell r="J97">
            <v>54.270270270270274</v>
          </cell>
          <cell r="K97">
            <v>51.179487179487182</v>
          </cell>
          <cell r="L97">
            <v>52.526315789473685</v>
          </cell>
          <cell r="M97">
            <v>48.992576882290564</v>
          </cell>
          <cell r="N97">
            <v>43.036649214659683</v>
          </cell>
          <cell r="O97">
            <v>47.274633123689732</v>
          </cell>
          <cell r="P97">
            <v>47.028154327424396</v>
          </cell>
          <cell r="Q97">
            <v>47.770700636942678</v>
          </cell>
          <cell r="R97">
            <v>50.883002207505527</v>
          </cell>
          <cell r="S97">
            <v>49.401778304682871</v>
          </cell>
          <cell r="T97" t="str">
            <v>...</v>
          </cell>
          <cell r="U97">
            <v>53.550231029390751</v>
          </cell>
          <cell r="V97">
            <v>49.721485791947018</v>
          </cell>
        </row>
        <row r="98">
          <cell r="B98" t="str">
            <v>Posadas</v>
          </cell>
          <cell r="C98" t="str">
            <v>...</v>
          </cell>
          <cell r="D98">
            <v>42.822804601992956</v>
          </cell>
          <cell r="E98">
            <v>45.68182310978122</v>
          </cell>
          <cell r="F98">
            <v>42.985111509235807</v>
          </cell>
          <cell r="G98">
            <v>38.844975687080954</v>
          </cell>
          <cell r="H98">
            <v>46.646499071397116</v>
          </cell>
          <cell r="I98">
            <v>41.151735711726658</v>
          </cell>
          <cell r="J98">
            <v>42.880174838328287</v>
          </cell>
          <cell r="K98">
            <v>42.060816933057879</v>
          </cell>
          <cell r="L98">
            <v>44.474156433623023</v>
          </cell>
          <cell r="M98">
            <v>39.42307692307692</v>
          </cell>
          <cell r="N98">
            <v>43.052225008695018</v>
          </cell>
          <cell r="O98">
            <v>47.363014326857815</v>
          </cell>
          <cell r="P98">
            <v>42.888279419510688</v>
          </cell>
          <cell r="Q98">
            <v>45.837377332039253</v>
          </cell>
          <cell r="R98">
            <v>50.828883472565913</v>
          </cell>
          <cell r="S98">
            <v>52.037939898945126</v>
          </cell>
          <cell r="T98">
            <v>48.303944606884677</v>
          </cell>
          <cell r="U98">
            <v>48.997462823313839</v>
          </cell>
          <cell r="V98">
            <v>48.279355824949342</v>
          </cell>
        </row>
        <row r="99">
          <cell r="B99" t="str">
            <v>Neuquén y Plottier</v>
          </cell>
          <cell r="C99">
            <v>48.827593037363506</v>
          </cell>
          <cell r="D99">
            <v>47.479727700470519</v>
          </cell>
          <cell r="E99">
            <v>46.116493184932331</v>
          </cell>
          <cell r="F99">
            <v>45.6334212590005</v>
          </cell>
          <cell r="G99">
            <v>46.265455158950139</v>
          </cell>
          <cell r="H99">
            <v>46.667650023354724</v>
          </cell>
          <cell r="I99">
            <v>41.303139761044733</v>
          </cell>
          <cell r="J99">
            <v>42.557446997644341</v>
          </cell>
          <cell r="K99">
            <v>46.914996100738563</v>
          </cell>
          <cell r="L99">
            <v>49.121458379090711</v>
          </cell>
          <cell r="M99">
            <v>44.997726731472859</v>
          </cell>
          <cell r="N99">
            <v>42.391981627530214</v>
          </cell>
          <cell r="O99">
            <v>41.285833171025374</v>
          </cell>
          <cell r="P99">
            <v>45.076872181498437</v>
          </cell>
          <cell r="Q99">
            <v>48.579935101863313</v>
          </cell>
          <cell r="R99">
            <v>47.369920879710335</v>
          </cell>
          <cell r="S99">
            <v>45.097682119205295</v>
          </cell>
          <cell r="T99">
            <v>43.286960100026903</v>
          </cell>
          <cell r="U99">
            <v>49.423828451184079</v>
          </cell>
          <cell r="V99">
            <v>43.758306590164999</v>
          </cell>
        </row>
        <row r="100">
          <cell r="B100" t="str">
            <v>Salta</v>
          </cell>
          <cell r="C100">
            <v>39.492119089316994</v>
          </cell>
          <cell r="D100">
            <v>37.296159915833769</v>
          </cell>
          <cell r="E100">
            <v>39.235094375936541</v>
          </cell>
          <cell r="F100">
            <v>43.007948508094159</v>
          </cell>
          <cell r="G100">
            <v>40.886140036397975</v>
          </cell>
          <cell r="H100">
            <v>43.582303237929672</v>
          </cell>
          <cell r="I100">
            <v>43.640753766206494</v>
          </cell>
          <cell r="J100">
            <v>42.891305209475618</v>
          </cell>
          <cell r="K100">
            <v>40.547244298997455</v>
          </cell>
          <cell r="L100">
            <v>41.56857098287675</v>
          </cell>
          <cell r="M100">
            <v>40.557068521130184</v>
          </cell>
          <cell r="N100">
            <v>38.823452427692715</v>
          </cell>
          <cell r="O100">
            <v>39.556603974980256</v>
          </cell>
          <cell r="P100">
            <v>47.728801763136524</v>
          </cell>
          <cell r="Q100">
            <v>43.38758535708785</v>
          </cell>
          <cell r="R100">
            <v>46.871097683786509</v>
          </cell>
          <cell r="S100">
            <v>44.284115555643588</v>
          </cell>
          <cell r="T100">
            <v>45.926617852371912</v>
          </cell>
          <cell r="U100">
            <v>46.44132950221325</v>
          </cell>
          <cell r="V100" t="str">
            <v>...</v>
          </cell>
        </row>
        <row r="101">
          <cell r="B101" t="str">
            <v>Gran San Juan</v>
          </cell>
          <cell r="C101">
            <v>37.306530022336091</v>
          </cell>
          <cell r="D101">
            <v>39.743557854939809</v>
          </cell>
          <cell r="E101">
            <v>34.140202151940009</v>
          </cell>
          <cell r="F101">
            <v>41.585273210700521</v>
          </cell>
          <cell r="G101">
            <v>41.033957862091533</v>
          </cell>
          <cell r="H101">
            <v>46.062020130768602</v>
          </cell>
          <cell r="I101">
            <v>45.002976029435636</v>
          </cell>
          <cell r="J101">
            <v>50.704495228849176</v>
          </cell>
          <cell r="K101">
            <v>46.412906103635414</v>
          </cell>
          <cell r="L101">
            <v>44.415292796785437</v>
          </cell>
          <cell r="M101">
            <v>40.488835316442099</v>
          </cell>
          <cell r="N101">
            <v>39.105069581358883</v>
          </cell>
          <cell r="O101">
            <v>40.885989790130459</v>
          </cell>
          <cell r="P101">
            <v>38.943426662057838</v>
          </cell>
          <cell r="Q101">
            <v>39.896609735173861</v>
          </cell>
          <cell r="R101">
            <v>45.268820789845165</v>
          </cell>
          <cell r="S101">
            <v>43.662878911921055</v>
          </cell>
          <cell r="T101">
            <v>44.790707718185644</v>
          </cell>
          <cell r="U101">
            <v>46.472154910821487</v>
          </cell>
          <cell r="V101" t="str">
            <v>...</v>
          </cell>
        </row>
        <row r="102">
          <cell r="B102" t="str">
            <v>San Luis-El Chorrillo</v>
          </cell>
          <cell r="C102">
            <v>36.936360729133355</v>
          </cell>
          <cell r="D102">
            <v>40.129767248858876</v>
          </cell>
          <cell r="E102">
            <v>40.353277270349658</v>
          </cell>
          <cell r="F102">
            <v>46.78389814060013</v>
          </cell>
          <cell r="G102">
            <v>49.387380777696258</v>
          </cell>
          <cell r="H102">
            <v>50.312568147125106</v>
          </cell>
          <cell r="I102">
            <v>48.431041299737608</v>
          </cell>
          <cell r="J102">
            <v>50.468331070023332</v>
          </cell>
          <cell r="K102">
            <v>50.953687940798389</v>
          </cell>
          <cell r="L102">
            <v>48.222862632084535</v>
          </cell>
          <cell r="M102">
            <v>0</v>
          </cell>
          <cell r="N102">
            <v>45.69795967211153</v>
          </cell>
          <cell r="O102">
            <v>48.187176281478834</v>
          </cell>
          <cell r="P102">
            <v>47.252030592280789</v>
          </cell>
          <cell r="Q102">
            <v>47.799471040979462</v>
          </cell>
          <cell r="R102">
            <v>47.752361443040861</v>
          </cell>
          <cell r="S102">
            <v>55.424227290383442</v>
          </cell>
          <cell r="T102">
            <v>50.154295923339291</v>
          </cell>
          <cell r="U102">
            <v>51.590725638099478</v>
          </cell>
          <cell r="V102">
            <v>52.071237159446184</v>
          </cell>
        </row>
        <row r="103">
          <cell r="B103" t="str">
            <v>Río Gallegos</v>
          </cell>
          <cell r="C103">
            <v>33.383213168276427</v>
          </cell>
          <cell r="D103">
            <v>33.172558228089102</v>
          </cell>
          <cell r="E103">
            <v>23.062214027180222</v>
          </cell>
          <cell r="F103">
            <v>33.955511893902184</v>
          </cell>
          <cell r="G103">
            <v>37.576304106548278</v>
          </cell>
          <cell r="H103">
            <v>42.557859721140915</v>
          </cell>
          <cell r="I103">
            <v>44.875462220051631</v>
          </cell>
          <cell r="J103">
            <v>45.766200582014335</v>
          </cell>
          <cell r="K103">
            <v>42.305308820491632</v>
          </cell>
          <cell r="L103">
            <v>45.295184364295785</v>
          </cell>
          <cell r="M103">
            <v>45.959227040308122</v>
          </cell>
          <cell r="N103">
            <v>44.053220834009409</v>
          </cell>
          <cell r="O103">
            <v>46.742662334203381</v>
          </cell>
          <cell r="P103">
            <v>44.678609062170707</v>
          </cell>
          <cell r="Q103">
            <v>45.029178824510211</v>
          </cell>
          <cell r="R103">
            <v>47.839506172839506</v>
          </cell>
          <cell r="S103">
            <v>46.946126539987468</v>
          </cell>
          <cell r="T103">
            <v>42.516989423126056</v>
          </cell>
          <cell r="U103">
            <v>45.264116575591984</v>
          </cell>
          <cell r="V103" t="str">
            <v>...</v>
          </cell>
        </row>
        <row r="104">
          <cell r="B104" t="str">
            <v>Gran Rosario</v>
          </cell>
          <cell r="C104">
            <v>37.296181630546954</v>
          </cell>
          <cell r="D104">
            <v>40.211251595753986</v>
          </cell>
          <cell r="E104">
            <v>39.28974263745031</v>
          </cell>
          <cell r="F104">
            <v>39.980340714794998</v>
          </cell>
          <cell r="G104">
            <v>40.536223215228176</v>
          </cell>
          <cell r="H104">
            <v>45.360007889465862</v>
          </cell>
          <cell r="I104">
            <v>41.297234897128341</v>
          </cell>
          <cell r="J104">
            <v>40.211369354137972</v>
          </cell>
          <cell r="K104">
            <v>41.431622797707497</v>
          </cell>
          <cell r="L104">
            <v>43.273326640800938</v>
          </cell>
          <cell r="M104">
            <v>33.282569131995352</v>
          </cell>
          <cell r="N104">
            <v>39.197161380179402</v>
          </cell>
          <cell r="O104">
            <v>38.256800518134717</v>
          </cell>
          <cell r="P104">
            <v>36.785046851968836</v>
          </cell>
          <cell r="Q104">
            <v>36.785046851968836</v>
          </cell>
          <cell r="R104">
            <v>37.165093496202743</v>
          </cell>
          <cell r="S104">
            <v>39.871337455096409</v>
          </cell>
          <cell r="T104">
            <v>42.505915947278666</v>
          </cell>
          <cell r="U104">
            <v>38.233622395031233</v>
          </cell>
          <cell r="V104">
            <v>40.058244348911387</v>
          </cell>
        </row>
        <row r="105">
          <cell r="B105" t="str">
            <v>Santa Fe-Santo Tomé</v>
          </cell>
          <cell r="C105">
            <v>33.483159117305462</v>
          </cell>
          <cell r="D105">
            <v>36.094121357528245</v>
          </cell>
          <cell r="E105">
            <v>37.228472126949285</v>
          </cell>
          <cell r="F105">
            <v>36.586589862756654</v>
          </cell>
          <cell r="G105">
            <v>37.653209611522747</v>
          </cell>
          <cell r="H105">
            <v>34.806284592037137</v>
          </cell>
          <cell r="I105">
            <v>37.546519935591881</v>
          </cell>
          <cell r="J105">
            <v>39.736309774405207</v>
          </cell>
          <cell r="K105">
            <v>34.372408709806216</v>
          </cell>
          <cell r="L105">
            <v>33.751012278666636</v>
          </cell>
          <cell r="M105">
            <v>29.473672536929424</v>
          </cell>
          <cell r="N105">
            <v>31.560276560678542</v>
          </cell>
          <cell r="O105">
            <v>33.638171789456415</v>
          </cell>
          <cell r="P105">
            <v>33.581673142101351</v>
          </cell>
          <cell r="Q105">
            <v>33.581673142101351</v>
          </cell>
          <cell r="R105">
            <v>40.338523895196147</v>
          </cell>
          <cell r="S105">
            <v>40.656370656370655</v>
          </cell>
          <cell r="T105">
            <v>42.242975923079953</v>
          </cell>
          <cell r="U105">
            <v>43.468801313628902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34.546872188568344</v>
          </cell>
          <cell r="E106">
            <v>28.80762612977869</v>
          </cell>
          <cell r="F106">
            <v>36.255465271816171</v>
          </cell>
          <cell r="G106">
            <v>36.790645701971428</v>
          </cell>
          <cell r="H106">
            <v>36.953081806569692</v>
          </cell>
          <cell r="I106">
            <v>39.314972154112262</v>
          </cell>
          <cell r="J106">
            <v>36.218145761031231</v>
          </cell>
          <cell r="K106">
            <v>37.572195141932582</v>
          </cell>
          <cell r="L106">
            <v>38.391719745222929</v>
          </cell>
          <cell r="M106">
            <v>34.974213812090426</v>
          </cell>
          <cell r="N106">
            <v>36.749399519615693</v>
          </cell>
          <cell r="O106">
            <v>35.306200838357356</v>
          </cell>
          <cell r="P106">
            <v>35.391262281682152</v>
          </cell>
          <cell r="Q106">
            <v>37.545733699202927</v>
          </cell>
          <cell r="R106">
            <v>44.314039718451482</v>
          </cell>
          <cell r="S106">
            <v>43.27888596161084</v>
          </cell>
          <cell r="T106">
            <v>36.821404215501246</v>
          </cell>
          <cell r="U106">
            <v>41.550904995972317</v>
          </cell>
          <cell r="V106">
            <v>43.299399466906451</v>
          </cell>
        </row>
        <row r="107">
          <cell r="B107" t="str">
            <v>Ushuaia-Río Grande</v>
          </cell>
          <cell r="C107" t="str">
            <v>...</v>
          </cell>
          <cell r="D107">
            <v>43.674903649965998</v>
          </cell>
          <cell r="E107">
            <v>38.929868986017837</v>
          </cell>
          <cell r="F107">
            <v>42.687027950824188</v>
          </cell>
          <cell r="G107">
            <v>45.00692414217572</v>
          </cell>
          <cell r="H107">
            <v>43.116188878989568</v>
          </cell>
          <cell r="I107">
            <v>46.680080482897388</v>
          </cell>
          <cell r="J107">
            <v>44.580777096114524</v>
          </cell>
          <cell r="K107">
            <v>46.60377358490566</v>
          </cell>
          <cell r="L107">
            <v>48.257146867543163</v>
          </cell>
          <cell r="M107">
            <v>44.16967763127024</v>
          </cell>
          <cell r="N107">
            <v>40.597494922139468</v>
          </cell>
          <cell r="O107">
            <v>40.807862978476336</v>
          </cell>
          <cell r="P107">
            <v>39.783513738551207</v>
          </cell>
          <cell r="Q107">
            <v>41.512605042016808</v>
          </cell>
          <cell r="R107">
            <v>46.650823700004032</v>
          </cell>
          <cell r="S107">
            <v>43.98089294656959</v>
          </cell>
          <cell r="T107">
            <v>42.745593812746336</v>
          </cell>
          <cell r="U107">
            <v>46.721940733916782</v>
          </cell>
          <cell r="V107">
            <v>51.606628511577448</v>
          </cell>
        </row>
        <row r="108">
          <cell r="B108" t="str">
            <v>Gran Tucumán y Tafí Viejo</v>
          </cell>
          <cell r="C108">
            <v>36.413802323163303</v>
          </cell>
          <cell r="D108">
            <v>38.673486602966214</v>
          </cell>
          <cell r="E108">
            <v>31.794119113948398</v>
          </cell>
          <cell r="F108">
            <v>40.096997921473111</v>
          </cell>
          <cell r="G108">
            <v>41.802393868004586</v>
          </cell>
          <cell r="H108">
            <v>43.500536406899016</v>
          </cell>
          <cell r="I108">
            <v>41.192448184968619</v>
          </cell>
          <cell r="J108">
            <v>39.296777885203525</v>
          </cell>
          <cell r="K108">
            <v>41.896162824245287</v>
          </cell>
          <cell r="L108">
            <v>33.985929932477816</v>
          </cell>
          <cell r="M108">
            <v>43.373353751914237</v>
          </cell>
          <cell r="N108">
            <v>38.054138189308119</v>
          </cell>
          <cell r="O108">
            <v>33.526207697115815</v>
          </cell>
          <cell r="P108">
            <v>33.152393135797347</v>
          </cell>
          <cell r="Q108">
            <v>39.350022208808355</v>
          </cell>
          <cell r="R108">
            <v>44.011066106923138</v>
          </cell>
          <cell r="S108">
            <v>43.665112741228199</v>
          </cell>
          <cell r="T108">
            <v>41.111612575195814</v>
          </cell>
          <cell r="U108">
            <v>37.808192803832519</v>
          </cell>
          <cell r="V108">
            <v>38.99304923118504</v>
          </cell>
        </row>
        <row r="109">
          <cell r="B109" t="str">
            <v>Total aglomerados del interior</v>
          </cell>
          <cell r="C109">
            <v>37.710168642702044</v>
          </cell>
          <cell r="D109">
            <v>39.513575865530832</v>
          </cell>
          <cell r="E109">
            <v>38.801771762936809</v>
          </cell>
          <cell r="F109">
            <v>41.743395498107994</v>
          </cell>
          <cell r="G109">
            <v>43.143346707148012</v>
          </cell>
          <cell r="H109">
            <v>44.917600186272736</v>
          </cell>
          <cell r="I109">
            <v>43.653992860248728</v>
          </cell>
          <cell r="J109">
            <v>43.925381802361613</v>
          </cell>
          <cell r="K109">
            <v>43.905667364345433</v>
          </cell>
          <cell r="L109">
            <v>43.487947340637731</v>
          </cell>
          <cell r="M109">
            <v>39.497206262397953</v>
          </cell>
          <cell r="N109">
            <v>39.866871663924378</v>
          </cell>
          <cell r="O109">
            <v>40.570697670465648</v>
          </cell>
          <cell r="P109">
            <v>41.415337391808187</v>
          </cell>
          <cell r="Q109">
            <v>41.546541160859604</v>
          </cell>
          <cell r="R109">
            <v>43.765887688045382</v>
          </cell>
          <cell r="S109">
            <v>45.02431383428906</v>
          </cell>
          <cell r="T109">
            <v>44.141143793865723</v>
          </cell>
          <cell r="U109">
            <v>45.512368433708936</v>
          </cell>
          <cell r="V109">
            <v>43.714470230165624</v>
          </cell>
        </row>
      </sheetData>
      <sheetData sheetId="2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19.9707604161635</v>
          </cell>
          <cell r="D78">
            <v>22.395127045520841</v>
          </cell>
          <cell r="E78">
            <v>21.612535672325876</v>
          </cell>
          <cell r="F78">
            <v>22.135426550381073</v>
          </cell>
          <cell r="G78">
            <v>22.283444041023664</v>
          </cell>
          <cell r="H78">
            <v>24.032573189542983</v>
          </cell>
          <cell r="I78">
            <v>21.988765327607439</v>
          </cell>
          <cell r="J78">
            <v>23.212569212533563</v>
          </cell>
          <cell r="K78">
            <v>22.636041733055247</v>
          </cell>
          <cell r="L78">
            <v>20.938119970144754</v>
          </cell>
          <cell r="M78">
            <v>20.994951875220313</v>
          </cell>
          <cell r="N78">
            <v>19.803442205854928</v>
          </cell>
          <cell r="O78">
            <v>22.119823875371107</v>
          </cell>
          <cell r="P78">
            <v>20.813095500008462</v>
          </cell>
          <cell r="Q78">
            <v>21.566828167369373</v>
          </cell>
          <cell r="R78">
            <v>23.982008665045701</v>
          </cell>
          <cell r="S78">
            <v>23.836782842631017</v>
          </cell>
          <cell r="T78">
            <v>22.720827169595793</v>
          </cell>
          <cell r="U78">
            <v>24.253617519536842</v>
          </cell>
          <cell r="V78">
            <v>24.319665731391211</v>
          </cell>
        </row>
        <row r="79">
          <cell r="B79" t="str">
            <v>Capital Federal</v>
          </cell>
          <cell r="C79">
            <v>16.407720294345861</v>
          </cell>
          <cell r="D79">
            <v>21.386912892363036</v>
          </cell>
          <cell r="E79">
            <v>18.80947332149389</v>
          </cell>
          <cell r="F79">
            <v>19.98312591558166</v>
          </cell>
          <cell r="G79">
            <v>22.316286124623886</v>
          </cell>
          <cell r="H79">
            <v>23.746844364813661</v>
          </cell>
          <cell r="I79">
            <v>19.488136246363801</v>
          </cell>
          <cell r="J79">
            <v>21.001289375358816</v>
          </cell>
          <cell r="K79">
            <v>21.555036954490259</v>
          </cell>
          <cell r="L79">
            <v>19.91919875414828</v>
          </cell>
          <cell r="M79">
            <v>22.628699020848519</v>
          </cell>
          <cell r="N79">
            <v>17.07673261471254</v>
          </cell>
          <cell r="O79">
            <v>22.202064762004202</v>
          </cell>
          <cell r="P79">
            <v>22.505315083076219</v>
          </cell>
          <cell r="Q79">
            <v>23.260148785921984</v>
          </cell>
          <cell r="R79">
            <v>25.718011831260611</v>
          </cell>
          <cell r="S79">
            <v>24.100785871476631</v>
          </cell>
          <cell r="T79">
            <v>25.473006134969324</v>
          </cell>
          <cell r="U79">
            <v>24.882316621928737</v>
          </cell>
          <cell r="V79">
            <v>25.271040762488301</v>
          </cell>
        </row>
        <row r="80">
          <cell r="B80" t="str">
            <v>Partidos del Conurbano</v>
          </cell>
          <cell r="C80">
            <v>22.573310341570334</v>
          </cell>
          <cell r="D80">
            <v>23.74433635804732</v>
          </cell>
          <cell r="E80">
            <v>24.17597284400059</v>
          </cell>
          <cell r="F80">
            <v>23.053340945513558</v>
          </cell>
          <cell r="G80">
            <v>22.284365268173588</v>
          </cell>
          <cell r="H80">
            <v>25.399782114710995</v>
          </cell>
          <cell r="I80">
            <v>22.566022276795959</v>
          </cell>
          <cell r="J80">
            <v>24.10147959249916</v>
          </cell>
          <cell r="K80">
            <v>23.475717689475402</v>
          </cell>
          <cell r="L80">
            <v>20.515252477310703</v>
          </cell>
          <cell r="M80">
            <v>20.750123870169944</v>
          </cell>
          <cell r="N80">
            <v>19.383042070815247</v>
          </cell>
          <cell r="O80">
            <v>21.881781480608602</v>
          </cell>
          <cell r="P80">
            <v>18.986665832377575</v>
          </cell>
          <cell r="Q80">
            <v>21.057417121650072</v>
          </cell>
          <cell r="R80">
            <v>23.924881037217535</v>
          </cell>
          <cell r="S80">
            <v>24.049946970927511</v>
          </cell>
          <cell r="T80">
            <v>22.20651364507172</v>
          </cell>
          <cell r="U80">
            <v>23.297238069133464</v>
          </cell>
          <cell r="V80">
            <v>23.650727197759917</v>
          </cell>
        </row>
        <row r="81">
          <cell r="B81" t="str">
            <v>Gran Buenos Aires</v>
          </cell>
          <cell r="C81">
            <v>20.321982932175406</v>
          </cell>
          <cell r="D81">
            <v>22.897726479360799</v>
          </cell>
          <cell r="E81">
            <v>22.225279952981868</v>
          </cell>
          <cell r="F81">
            <v>21.981527174529962</v>
          </cell>
          <cell r="G81">
            <v>22.295381858668602</v>
          </cell>
          <cell r="H81">
            <v>24.837150850358153</v>
          </cell>
          <cell r="I81">
            <v>21.593324719429305</v>
          </cell>
          <cell r="J81">
            <v>23.086295146299307</v>
          </cell>
          <cell r="K81">
            <v>22.875003516610384</v>
          </cell>
          <cell r="L81">
            <v>20.324273540970992</v>
          </cell>
          <cell r="M81">
            <v>21.353810162701127</v>
          </cell>
          <cell r="N81">
            <v>18.647796797471685</v>
          </cell>
          <cell r="O81">
            <v>21.984040170432646</v>
          </cell>
          <cell r="P81">
            <v>20.094501722398387</v>
          </cell>
          <cell r="Q81">
            <v>21.764222618052273</v>
          </cell>
          <cell r="R81">
            <v>24.51387883875076</v>
          </cell>
          <cell r="S81">
            <v>24.066183223233899</v>
          </cell>
          <cell r="T81">
            <v>23.198019737448544</v>
          </cell>
          <cell r="U81">
            <v>23.79767812244236</v>
          </cell>
          <cell r="V81">
            <v>24.150925882547135</v>
          </cell>
        </row>
        <row r="82">
          <cell r="B82" t="str">
            <v>Bahía Blanca</v>
          </cell>
          <cell r="C82">
            <v>16.819684171869262</v>
          </cell>
          <cell r="D82">
            <v>20.82616179001721</v>
          </cell>
          <cell r="E82">
            <v>20.168828814832075</v>
          </cell>
          <cell r="F82">
            <v>25.206369364528889</v>
          </cell>
          <cell r="G82">
            <v>21.311704331230942</v>
          </cell>
          <cell r="H82">
            <v>20.864401482341385</v>
          </cell>
          <cell r="I82">
            <v>19.397044695548743</v>
          </cell>
          <cell r="J82">
            <v>20.802690957713523</v>
          </cell>
          <cell r="K82">
            <v>21.824312788116785</v>
          </cell>
          <cell r="L82">
            <v>16.337928743459845</v>
          </cell>
          <cell r="M82">
            <v>16.463158824438608</v>
          </cell>
          <cell r="N82">
            <v>19.624742767219466</v>
          </cell>
          <cell r="O82">
            <v>18.250034107963074</v>
          </cell>
          <cell r="P82">
            <v>18.499153577474448</v>
          </cell>
          <cell r="Q82">
            <v>18.499153577474448</v>
          </cell>
          <cell r="R82">
            <v>28.774052357750435</v>
          </cell>
          <cell r="S82">
            <v>22.305657002310504</v>
          </cell>
          <cell r="T82">
            <v>22.952418873183355</v>
          </cell>
          <cell r="U82">
            <v>18.452148055403399</v>
          </cell>
          <cell r="V82" t="str">
            <v>...</v>
          </cell>
        </row>
        <row r="83">
          <cell r="B83" t="str">
            <v>Gran La Plata</v>
          </cell>
          <cell r="C83">
            <v>13.469512195121952</v>
          </cell>
          <cell r="D83">
            <v>18.809698750918439</v>
          </cell>
          <cell r="E83">
            <v>17.03906158607268</v>
          </cell>
          <cell r="F83">
            <v>23.543857831200459</v>
          </cell>
          <cell r="G83">
            <v>20.966234610540003</v>
          </cell>
          <cell r="H83">
            <v>22.26590489120187</v>
          </cell>
          <cell r="I83">
            <v>21.996688310480195</v>
          </cell>
          <cell r="J83">
            <v>21.77034417454152</v>
          </cell>
          <cell r="K83">
            <v>19.064441203478637</v>
          </cell>
          <cell r="L83">
            <v>20.688748419721872</v>
          </cell>
          <cell r="M83">
            <v>16.386633774388876</v>
          </cell>
          <cell r="N83">
            <v>18.615129039836226</v>
          </cell>
          <cell r="O83">
            <v>17.320320501235013</v>
          </cell>
          <cell r="P83">
            <v>17.410172952964452</v>
          </cell>
          <cell r="Q83">
            <v>17.410172952964452</v>
          </cell>
          <cell r="R83">
            <v>18.876623734254398</v>
          </cell>
          <cell r="S83">
            <v>21.893495928358597</v>
          </cell>
          <cell r="T83">
            <v>19.038595627742914</v>
          </cell>
          <cell r="U83">
            <v>22.499523876555681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25.451040378852962</v>
          </cell>
          <cell r="O84">
            <v>28.459284069499684</v>
          </cell>
          <cell r="P84">
            <v>27.918011413426807</v>
          </cell>
          <cell r="Q84">
            <v>21.50155446066578</v>
          </cell>
          <cell r="R84">
            <v>21.25325027859531</v>
          </cell>
          <cell r="S84">
            <v>20.30556676079064</v>
          </cell>
          <cell r="T84">
            <v>24.165428210190093</v>
          </cell>
          <cell r="U84">
            <v>28.870799369211291</v>
          </cell>
          <cell r="V84" t="str">
            <v>...</v>
          </cell>
        </row>
        <row r="85">
          <cell r="B85" t="str">
            <v>Gran Catamarca</v>
          </cell>
          <cell r="C85">
            <v>18.462419652517024</v>
          </cell>
          <cell r="D85">
            <v>18.421214924452666</v>
          </cell>
          <cell r="E85">
            <v>17.205034410068819</v>
          </cell>
          <cell r="F85">
            <v>18.608101135190918</v>
          </cell>
          <cell r="G85">
            <v>21.32047839882841</v>
          </cell>
          <cell r="H85">
            <v>22.927553444180525</v>
          </cell>
          <cell r="I85">
            <v>22.284013032243568</v>
          </cell>
          <cell r="J85">
            <v>21.733610341643583</v>
          </cell>
          <cell r="K85">
            <v>18.187344570323294</v>
          </cell>
          <cell r="L85">
            <v>18.394254475292097</v>
          </cell>
          <cell r="M85">
            <v>18.893916540975365</v>
          </cell>
          <cell r="N85">
            <v>21.372435255024001</v>
          </cell>
          <cell r="O85">
            <v>18.56094416344342</v>
          </cell>
          <cell r="P85">
            <v>22.713263333855718</v>
          </cell>
          <cell r="Q85">
            <v>19.851521263356648</v>
          </cell>
          <cell r="R85">
            <v>23.722955381991202</v>
          </cell>
          <cell r="S85">
            <v>19.393168763975975</v>
          </cell>
          <cell r="T85">
            <v>17.847286108555657</v>
          </cell>
          <cell r="U85">
            <v>24.255037366379717</v>
          </cell>
          <cell r="V85">
            <v>25.02076822659124</v>
          </cell>
        </row>
        <row r="86">
          <cell r="B86" t="str">
            <v>Gran Córdoba</v>
          </cell>
          <cell r="C86">
            <v>22.407173466101902</v>
          </cell>
          <cell r="D86">
            <v>25.960263346281582</v>
          </cell>
          <cell r="E86">
            <v>26.471174324038209</v>
          </cell>
          <cell r="F86">
            <v>24.749574691536207</v>
          </cell>
          <cell r="G86">
            <v>26.98812036718865</v>
          </cell>
          <cell r="H86">
            <v>25.276298288829381</v>
          </cell>
          <cell r="I86">
            <v>26.629764906765573</v>
          </cell>
          <cell r="J86">
            <v>27.638010270009101</v>
          </cell>
          <cell r="K86">
            <v>23.967908358628382</v>
          </cell>
          <cell r="L86">
            <v>21.167221518888422</v>
          </cell>
          <cell r="M86">
            <v>21.848851462985664</v>
          </cell>
          <cell r="N86">
            <v>18.113842823879224</v>
          </cell>
          <cell r="O86">
            <v>20.366224703419398</v>
          </cell>
          <cell r="P86" t="str">
            <v>...</v>
          </cell>
          <cell r="Q86">
            <v>20.168596004035489</v>
          </cell>
          <cell r="R86">
            <v>22.512935975484442</v>
          </cell>
          <cell r="S86">
            <v>21.979263624734322</v>
          </cell>
          <cell r="T86">
            <v>20.414342237841289</v>
          </cell>
          <cell r="U86">
            <v>25.804922717295774</v>
          </cell>
          <cell r="V86">
            <v>25.388941130466357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21.388640429338103</v>
          </cell>
          <cell r="O87">
            <v>18.302356326308423</v>
          </cell>
          <cell r="P87">
            <v>19.814704124327555</v>
          </cell>
          <cell r="Q87">
            <v>19.945918104558331</v>
          </cell>
          <cell r="R87">
            <v>20.963275135460567</v>
          </cell>
          <cell r="S87">
            <v>19.929865575686733</v>
          </cell>
          <cell r="T87">
            <v>20.538674660489622</v>
          </cell>
          <cell r="U87">
            <v>25.85431654676259</v>
          </cell>
          <cell r="V87" t="str">
            <v>...</v>
          </cell>
        </row>
        <row r="88">
          <cell r="B88" t="str">
            <v>Corrientes</v>
          </cell>
          <cell r="C88">
            <v>19.305881040062491</v>
          </cell>
          <cell r="D88">
            <v>21.786684283931589</v>
          </cell>
          <cell r="E88">
            <v>22.679238569649527</v>
          </cell>
          <cell r="F88">
            <v>22.91288404713589</v>
          </cell>
          <cell r="G88" t="str">
            <v>...</v>
          </cell>
          <cell r="H88">
            <v>19.57384334576621</v>
          </cell>
          <cell r="I88">
            <v>18.710548255190755</v>
          </cell>
          <cell r="J88">
            <v>25.188036300716831</v>
          </cell>
          <cell r="K88">
            <v>24.395529969522521</v>
          </cell>
          <cell r="L88">
            <v>22.204529370134466</v>
          </cell>
          <cell r="M88">
            <v>25.451462231874572</v>
          </cell>
          <cell r="N88">
            <v>21.296785662806901</v>
          </cell>
          <cell r="O88">
            <v>24.849225537341589</v>
          </cell>
          <cell r="P88">
            <v>22.800195589913148</v>
          </cell>
          <cell r="Q88">
            <v>19.512836448821531</v>
          </cell>
          <cell r="R88">
            <v>25.987335987988775</v>
          </cell>
          <cell r="S88">
            <v>27.429249047912247</v>
          </cell>
          <cell r="T88">
            <v>25.337564137186064</v>
          </cell>
          <cell r="U88">
            <v>26.189185526494107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21.633129949370375</v>
          </cell>
          <cell r="D89">
            <v>22.914199146123124</v>
          </cell>
          <cell r="E89">
            <v>24.861040929762506</v>
          </cell>
          <cell r="F89">
            <v>22.83757672198227</v>
          </cell>
          <cell r="G89">
            <v>23.609055528147781</v>
          </cell>
          <cell r="H89">
            <v>23.314229303205639</v>
          </cell>
          <cell r="I89">
            <v>27.49475341028332</v>
          </cell>
          <cell r="J89">
            <v>24.197598388981429</v>
          </cell>
          <cell r="K89">
            <v>29.452506596306065</v>
          </cell>
          <cell r="L89">
            <v>29.324101371270928</v>
          </cell>
          <cell r="M89">
            <v>29.782082324455207</v>
          </cell>
          <cell r="N89">
            <v>27.047511589688245</v>
          </cell>
          <cell r="O89">
            <v>24.457266498377209</v>
          </cell>
          <cell r="P89">
            <v>26.007106160272723</v>
          </cell>
          <cell r="Q89">
            <v>22.652207810617337</v>
          </cell>
          <cell r="R89">
            <v>25.82695201095866</v>
          </cell>
          <cell r="S89">
            <v>27.785573954532701</v>
          </cell>
          <cell r="T89">
            <v>22.796345761037912</v>
          </cell>
          <cell r="U89">
            <v>26.313433539084958</v>
          </cell>
          <cell r="V89">
            <v>26.564944339900698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21.547107438016528</v>
          </cell>
          <cell r="F90" t="str">
            <v>...</v>
          </cell>
          <cell r="G90">
            <v>19.066800939912724</v>
          </cell>
          <cell r="H90">
            <v>22.108972621306588</v>
          </cell>
          <cell r="I90">
            <v>22.07175925925926</v>
          </cell>
          <cell r="J90">
            <v>27.146608814797901</v>
          </cell>
          <cell r="K90">
            <v>24.54037773734078</v>
          </cell>
          <cell r="L90">
            <v>25.129839471199244</v>
          </cell>
          <cell r="M90">
            <v>21.849836779107726</v>
          </cell>
          <cell r="N90">
            <v>22.30949653630066</v>
          </cell>
          <cell r="O90">
            <v>23.924746101337476</v>
          </cell>
          <cell r="P90">
            <v>26.615299944964228</v>
          </cell>
          <cell r="Q90">
            <v>27.407054337464253</v>
          </cell>
          <cell r="R90">
            <v>21.878063124877475</v>
          </cell>
          <cell r="S90">
            <v>24.532252924841806</v>
          </cell>
          <cell r="T90">
            <v>23.554286341918832</v>
          </cell>
          <cell r="U90">
            <v>22.783528870485391</v>
          </cell>
          <cell r="V90" t="str">
            <v>...</v>
          </cell>
        </row>
        <row r="91">
          <cell r="B91" t="str">
            <v>Paraná</v>
          </cell>
          <cell r="C91">
            <v>16.233653007846556</v>
          </cell>
          <cell r="D91">
            <v>14.282172958424818</v>
          </cell>
          <cell r="E91">
            <v>14.159974751902373</v>
          </cell>
          <cell r="F91">
            <v>18.082996694821887</v>
          </cell>
          <cell r="G91">
            <v>15.985251057369048</v>
          </cell>
          <cell r="H91">
            <v>15.525942540488835</v>
          </cell>
          <cell r="I91">
            <v>16.97111231965194</v>
          </cell>
          <cell r="J91">
            <v>18.29251322015029</v>
          </cell>
          <cell r="K91">
            <v>21.535219317045293</v>
          </cell>
          <cell r="L91">
            <v>17.699473471040907</v>
          </cell>
          <cell r="M91">
            <v>19.281563655573166</v>
          </cell>
          <cell r="N91">
            <v>20.645333649964378</v>
          </cell>
          <cell r="O91">
            <v>18.876959224340482</v>
          </cell>
          <cell r="P91">
            <v>18.885800909550277</v>
          </cell>
          <cell r="Q91">
            <v>16.602809706257982</v>
          </cell>
          <cell r="R91">
            <v>17.115368144574187</v>
          </cell>
          <cell r="S91">
            <v>18.772633033863166</v>
          </cell>
          <cell r="T91">
            <v>18.889435908066229</v>
          </cell>
          <cell r="U91">
            <v>23.901064018893319</v>
          </cell>
          <cell r="V91">
            <v>19.274366094596441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21.098931788033234</v>
          </cell>
          <cell r="O92">
            <v>17.981520966595593</v>
          </cell>
          <cell r="P92">
            <v>23.634836180341644</v>
          </cell>
          <cell r="Q92">
            <v>22.65798045602606</v>
          </cell>
          <cell r="R92">
            <v>26.105642589768475</v>
          </cell>
          <cell r="S92">
            <v>25</v>
          </cell>
          <cell r="T92">
            <v>25.462405603589801</v>
          </cell>
          <cell r="U92">
            <v>23.393231176276043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22.891060615144792</v>
          </cell>
          <cell r="E93">
            <v>14.595375722543352</v>
          </cell>
          <cell r="F93">
            <v>19.416342412451364</v>
          </cell>
          <cell r="G93">
            <v>19.723735622695504</v>
          </cell>
          <cell r="H93">
            <v>19.322595926101375</v>
          </cell>
          <cell r="I93">
            <v>23.890106529384781</v>
          </cell>
          <cell r="J93">
            <v>17.613636363636363</v>
          </cell>
          <cell r="K93">
            <v>23.82024721012861</v>
          </cell>
          <cell r="L93">
            <v>16.552480131542886</v>
          </cell>
          <cell r="M93">
            <v>18.698451015892175</v>
          </cell>
          <cell r="N93">
            <v>25.23434758634518</v>
          </cell>
          <cell r="O93">
            <v>19.733096085409251</v>
          </cell>
          <cell r="P93">
            <v>19.509935138474212</v>
          </cell>
          <cell r="Q93">
            <v>26.913767737648904</v>
          </cell>
          <cell r="R93">
            <v>28.968162284552466</v>
          </cell>
          <cell r="S93">
            <v>29.924780610112826</v>
          </cell>
          <cell r="T93">
            <v>26.362400466109925</v>
          </cell>
          <cell r="U93">
            <v>31.471009875756611</v>
          </cell>
          <cell r="V93" t="str">
            <v>...</v>
          </cell>
        </row>
        <row r="94">
          <cell r="B94" t="str">
            <v xml:space="preserve">S.S. de Jujuy </v>
          </cell>
          <cell r="C94">
            <v>24.05548755609955</v>
          </cell>
          <cell r="D94">
            <v>24.022019208245489</v>
          </cell>
          <cell r="E94">
            <v>26.276468238114266</v>
          </cell>
          <cell r="F94">
            <v>24.280291047136981</v>
          </cell>
          <cell r="G94">
            <v>26.578533443187773</v>
          </cell>
          <cell r="H94">
            <v>24.278033794162827</v>
          </cell>
          <cell r="I94">
            <v>22.977308747922223</v>
          </cell>
          <cell r="J94">
            <v>26.773916613788213</v>
          </cell>
          <cell r="K94">
            <v>24.743265366870069</v>
          </cell>
          <cell r="L94">
            <v>27.124018716887736</v>
          </cell>
          <cell r="M94">
            <v>24.577045346585301</v>
          </cell>
          <cell r="N94">
            <v>27.31599795553284</v>
          </cell>
          <cell r="O94">
            <v>26.577394462097143</v>
          </cell>
          <cell r="P94">
            <v>22.940150295222757</v>
          </cell>
          <cell r="Q94">
            <v>19.627874032908359</v>
          </cell>
          <cell r="R94">
            <v>20.426812733879277</v>
          </cell>
          <cell r="S94">
            <v>28.231407538433523</v>
          </cell>
          <cell r="T94">
            <v>19.245410052567522</v>
          </cell>
          <cell r="U94">
            <v>25.610888618027744</v>
          </cell>
          <cell r="V94">
            <v>26.574987026466008</v>
          </cell>
        </row>
        <row r="95">
          <cell r="B95" t="str">
            <v xml:space="preserve">Santa Rosa y Toay </v>
          </cell>
          <cell r="C95">
            <v>24.963556851311953</v>
          </cell>
          <cell r="D95">
            <v>18.12821712681329</v>
          </cell>
          <cell r="E95">
            <v>17.153036986766203</v>
          </cell>
          <cell r="F95">
            <v>18.943533697632059</v>
          </cell>
          <cell r="G95">
            <v>19.351828285399169</v>
          </cell>
          <cell r="H95">
            <v>20.879215416379903</v>
          </cell>
          <cell r="I95">
            <v>20.875964817806498</v>
          </cell>
          <cell r="J95">
            <v>23.795081967213115</v>
          </cell>
          <cell r="K95">
            <v>22.772669625871909</v>
          </cell>
          <cell r="L95">
            <v>23.704976951324323</v>
          </cell>
          <cell r="M95">
            <v>19.942388654996677</v>
          </cell>
          <cell r="N95">
            <v>20.077448149120507</v>
          </cell>
          <cell r="O95">
            <v>19.364485981308409</v>
          </cell>
          <cell r="P95">
            <v>23.344776851397743</v>
          </cell>
          <cell r="Q95">
            <v>22.224132989395244</v>
          </cell>
          <cell r="R95">
            <v>22.320376914016489</v>
          </cell>
          <cell r="S95">
            <v>21.9647104375242</v>
          </cell>
          <cell r="T95">
            <v>23.55080831408776</v>
          </cell>
          <cell r="U95">
            <v>20.907392580731251</v>
          </cell>
          <cell r="V95">
            <v>19.382468013111982</v>
          </cell>
        </row>
        <row r="96">
          <cell r="B96" t="str">
            <v>La Rioja</v>
          </cell>
          <cell r="C96">
            <v>17.608678563006052</v>
          </cell>
          <cell r="D96">
            <v>19.23963133640553</v>
          </cell>
          <cell r="E96">
            <v>19.824835358815942</v>
          </cell>
          <cell r="F96">
            <v>17.488520662806948</v>
          </cell>
          <cell r="G96">
            <v>18.419629579559281</v>
          </cell>
          <cell r="H96">
            <v>19.099073814201514</v>
          </cell>
          <cell r="I96">
            <v>19.361979166666668</v>
          </cell>
          <cell r="J96">
            <v>18.654434250764528</v>
          </cell>
          <cell r="K96">
            <v>17.756171562543095</v>
          </cell>
          <cell r="L96">
            <v>18.007662835249043</v>
          </cell>
          <cell r="M96">
            <v>17.214183692479661</v>
          </cell>
          <cell r="N96">
            <v>18.028057472564772</v>
          </cell>
          <cell r="O96">
            <v>18.614440222157263</v>
          </cell>
          <cell r="P96">
            <v>19.922917284316632</v>
          </cell>
          <cell r="Q96">
            <v>20.152963671128106</v>
          </cell>
          <cell r="R96">
            <v>20.227272727272727</v>
          </cell>
          <cell r="S96">
            <v>21.314369789112313</v>
          </cell>
          <cell r="T96">
            <v>19.442515623450056</v>
          </cell>
          <cell r="U96">
            <v>22.368081037779731</v>
          </cell>
          <cell r="V96">
            <v>20.781257658187521</v>
          </cell>
        </row>
        <row r="97">
          <cell r="B97" t="str">
            <v>Gran Mendoza</v>
          </cell>
          <cell r="C97">
            <v>20.508856339379722</v>
          </cell>
          <cell r="D97">
            <v>21.447970628174822</v>
          </cell>
          <cell r="E97">
            <v>22.687215012276393</v>
          </cell>
          <cell r="F97">
            <v>25.563909774436087</v>
          </cell>
          <cell r="G97">
            <v>21.523809523809522</v>
          </cell>
          <cell r="H97">
            <v>24.225865209471767</v>
          </cell>
          <cell r="I97">
            <v>25.440313111545986</v>
          </cell>
          <cell r="J97">
            <v>21.104536489151872</v>
          </cell>
          <cell r="K97">
            <v>24.162257495590829</v>
          </cell>
          <cell r="L97">
            <v>26.678765880217785</v>
          </cell>
          <cell r="M97">
            <v>24.282982791586999</v>
          </cell>
          <cell r="N97">
            <v>22.718808193668529</v>
          </cell>
          <cell r="O97">
            <v>27.353463587921844</v>
          </cell>
          <cell r="P97">
            <v>26.110124333925398</v>
          </cell>
          <cell r="Q97">
            <v>26.127819548872182</v>
          </cell>
          <cell r="R97">
            <v>26.365348399246702</v>
          </cell>
          <cell r="S97">
            <v>24.764777312076461</v>
          </cell>
          <cell r="T97" t="str">
            <v>...</v>
          </cell>
          <cell r="U97">
            <v>29.730105946949191</v>
          </cell>
          <cell r="V97">
            <v>27.824483174946486</v>
          </cell>
        </row>
        <row r="98">
          <cell r="B98" t="str">
            <v>Posadas</v>
          </cell>
          <cell r="C98" t="str">
            <v>...</v>
          </cell>
          <cell r="D98">
            <v>25.32657438097095</v>
          </cell>
          <cell r="E98">
            <v>27.442960959945918</v>
          </cell>
          <cell r="F98">
            <v>24.649505478037899</v>
          </cell>
          <cell r="G98">
            <v>26.010533024722417</v>
          </cell>
          <cell r="H98">
            <v>30.314426633785452</v>
          </cell>
          <cell r="I98">
            <v>25.011424654404202</v>
          </cell>
          <cell r="J98">
            <v>26.373775843307946</v>
          </cell>
          <cell r="K98">
            <v>25.026609153548822</v>
          </cell>
          <cell r="L98">
            <v>24.200358609520503</v>
          </cell>
          <cell r="M98">
            <v>23.738051077186476</v>
          </cell>
          <cell r="N98">
            <v>26.029063240613699</v>
          </cell>
          <cell r="O98">
            <v>31.060166937166706</v>
          </cell>
          <cell r="P98">
            <v>29.121779859484775</v>
          </cell>
          <cell r="Q98">
            <v>28.784233150396066</v>
          </cell>
          <cell r="R98">
            <v>31.222855946836901</v>
          </cell>
          <cell r="S98">
            <v>27.943635060902793</v>
          </cell>
          <cell r="T98">
            <v>25.776290275453555</v>
          </cell>
          <cell r="U98">
            <v>27.717519762586342</v>
          </cell>
          <cell r="V98">
            <v>28.720834549942932</v>
          </cell>
        </row>
        <row r="99">
          <cell r="B99" t="str">
            <v>Neuquén y Plottier</v>
          </cell>
          <cell r="C99">
            <v>24.022899449035812</v>
          </cell>
          <cell r="D99">
            <v>23.595942321893585</v>
          </cell>
          <cell r="E99">
            <v>22.835785848465871</v>
          </cell>
          <cell r="F99">
            <v>23.641802206019815</v>
          </cell>
          <cell r="G99">
            <v>22.860952663160234</v>
          </cell>
          <cell r="H99">
            <v>23.51369405477622</v>
          </cell>
          <cell r="I99">
            <v>23.399014778325121</v>
          </cell>
          <cell r="J99">
            <v>22.720021270938581</v>
          </cell>
          <cell r="K99">
            <v>22.899710768816842</v>
          </cell>
          <cell r="L99">
            <v>24.752443621031112</v>
          </cell>
          <cell r="M99">
            <v>22.885504021906556</v>
          </cell>
          <cell r="N99">
            <v>17.624161836572338</v>
          </cell>
          <cell r="O99">
            <v>21.291147831988933</v>
          </cell>
          <cell r="P99">
            <v>21.006193060902419</v>
          </cell>
          <cell r="Q99">
            <v>24.889936292536387</v>
          </cell>
          <cell r="R99">
            <v>21.787806143884538</v>
          </cell>
          <cell r="S99">
            <v>19.242043551088777</v>
          </cell>
          <cell r="T99">
            <v>20.49128255805746</v>
          </cell>
          <cell r="U99">
            <v>23.454750934538815</v>
          </cell>
          <cell r="V99">
            <v>20.040063078037761</v>
          </cell>
        </row>
        <row r="100">
          <cell r="B100" t="str">
            <v>Salta</v>
          </cell>
          <cell r="C100">
            <v>21.310791066583175</v>
          </cell>
          <cell r="D100">
            <v>23.405318501781526</v>
          </cell>
          <cell r="E100">
            <v>22.120458807623532</v>
          </cell>
          <cell r="F100">
            <v>23.342360640938839</v>
          </cell>
          <cell r="G100">
            <v>25.258559028784628</v>
          </cell>
          <cell r="H100">
            <v>23.214936247723134</v>
          </cell>
          <cell r="I100">
            <v>23.225144562581608</v>
          </cell>
          <cell r="J100">
            <v>26.621257541835845</v>
          </cell>
          <cell r="K100">
            <v>25.799857640853425</v>
          </cell>
          <cell r="L100">
            <v>22.946001043000049</v>
          </cell>
          <cell r="M100">
            <v>18.863308449909038</v>
          </cell>
          <cell r="N100">
            <v>21.02613129381772</v>
          </cell>
          <cell r="O100">
            <v>24.191125664673898</v>
          </cell>
          <cell r="P100">
            <v>23.739198743126472</v>
          </cell>
          <cell r="Q100">
            <v>26.094098643413506</v>
          </cell>
          <cell r="R100">
            <v>23.855506857062068</v>
          </cell>
          <cell r="S100">
            <v>27.488189714010414</v>
          </cell>
          <cell r="T100">
            <v>23.559564491774619</v>
          </cell>
          <cell r="U100">
            <v>26.900199153268883</v>
          </cell>
          <cell r="V100" t="str">
            <v>...</v>
          </cell>
        </row>
        <row r="101">
          <cell r="B101" t="str">
            <v>Gran San Juan</v>
          </cell>
          <cell r="C101">
            <v>18.247765006385698</v>
          </cell>
          <cell r="D101">
            <v>23.229910489791813</v>
          </cell>
          <cell r="E101">
            <v>17.962731124807398</v>
          </cell>
          <cell r="F101">
            <v>17.269511785815713</v>
          </cell>
          <cell r="G101">
            <v>18.756409294414848</v>
          </cell>
          <cell r="H101">
            <v>22.999336733526977</v>
          </cell>
          <cell r="I101">
            <v>22.658142496815923</v>
          </cell>
          <cell r="J101">
            <v>26.337154323407987</v>
          </cell>
          <cell r="K101">
            <v>23.550128064398098</v>
          </cell>
          <cell r="L101">
            <v>24.351453235484374</v>
          </cell>
          <cell r="M101">
            <v>19.784084403369594</v>
          </cell>
          <cell r="N101">
            <v>19.737043265555727</v>
          </cell>
          <cell r="O101">
            <v>24.241429014541936</v>
          </cell>
          <cell r="P101">
            <v>23.547261116179445</v>
          </cell>
          <cell r="Q101">
            <v>23.218557590493745</v>
          </cell>
          <cell r="R101">
            <v>28.931528161057912</v>
          </cell>
          <cell r="S101">
            <v>24.943392636285797</v>
          </cell>
          <cell r="T101">
            <v>26.26164132770835</v>
          </cell>
          <cell r="U101">
            <v>25.450859033187495</v>
          </cell>
          <cell r="V101" t="str">
            <v>...</v>
          </cell>
        </row>
        <row r="102">
          <cell r="B102" t="str">
            <v>San Luis-El Chorrillo</v>
          </cell>
          <cell r="C102">
            <v>20.202385254788581</v>
          </cell>
          <cell r="D102">
            <v>17.65195093215053</v>
          </cell>
          <cell r="E102">
            <v>21.284286625558156</v>
          </cell>
          <cell r="F102">
            <v>24.199288256227756</v>
          </cell>
          <cell r="G102">
            <v>24.593775819333516</v>
          </cell>
          <cell r="H102">
            <v>25.089150800846177</v>
          </cell>
          <cell r="I102">
            <v>25.783269242892263</v>
          </cell>
          <cell r="J102">
            <v>22.231506238859179</v>
          </cell>
          <cell r="K102">
            <v>25.830953393692653</v>
          </cell>
          <cell r="L102">
            <v>27.491408934707906</v>
          </cell>
          <cell r="M102">
            <v>0</v>
          </cell>
          <cell r="N102">
            <v>25.664616207542124</v>
          </cell>
          <cell r="O102">
            <v>26.748005631159078</v>
          </cell>
          <cell r="P102">
            <v>23.262102974707037</v>
          </cell>
          <cell r="Q102">
            <v>22.29028090156482</v>
          </cell>
          <cell r="R102">
            <v>25.063255552431823</v>
          </cell>
          <cell r="S102">
            <v>29.174207559853148</v>
          </cell>
          <cell r="T102">
            <v>26.4121601284238</v>
          </cell>
          <cell r="U102">
            <v>27.826352175681173</v>
          </cell>
          <cell r="V102">
            <v>27.629340538376862</v>
          </cell>
        </row>
        <row r="103">
          <cell r="B103" t="str">
            <v>Río Gallegos</v>
          </cell>
          <cell r="C103">
            <v>13.926111458985599</v>
          </cell>
          <cell r="D103">
            <v>14.297976701410178</v>
          </cell>
          <cell r="E103">
            <v>10.547588005215124</v>
          </cell>
          <cell r="F103">
            <v>15.933849586559917</v>
          </cell>
          <cell r="G103">
            <v>15.422885572139302</v>
          </cell>
          <cell r="H103">
            <v>18.390804597701148</v>
          </cell>
          <cell r="I103">
            <v>15.391146149181322</v>
          </cell>
          <cell r="J103">
            <v>18.358585858585858</v>
          </cell>
          <cell r="K103">
            <v>20.066240292370946</v>
          </cell>
          <cell r="L103">
            <v>18.261286073524129</v>
          </cell>
          <cell r="M103">
            <v>15.749097472924186</v>
          </cell>
          <cell r="N103">
            <v>13.780071896027286</v>
          </cell>
          <cell r="O103">
            <v>18.498151987740016</v>
          </cell>
          <cell r="P103">
            <v>16.512059369202227</v>
          </cell>
          <cell r="Q103">
            <v>19.252588923908149</v>
          </cell>
          <cell r="R103">
            <v>18.817204301075268</v>
          </cell>
          <cell r="S103">
            <v>15.901576316801231</v>
          </cell>
          <cell r="T103">
            <v>18.168297455968688</v>
          </cell>
          <cell r="U103">
            <v>14.82586262495969</v>
          </cell>
          <cell r="V103" t="str">
            <v>...</v>
          </cell>
        </row>
        <row r="104">
          <cell r="B104" t="str">
            <v>Gran Rosario</v>
          </cell>
          <cell r="C104">
            <v>18.979430584699877</v>
          </cell>
          <cell r="D104">
            <v>20.064024698856159</v>
          </cell>
          <cell r="E104">
            <v>21.057066069704369</v>
          </cell>
          <cell r="F104">
            <v>20.512880658194891</v>
          </cell>
          <cell r="G104">
            <v>20.586031749777302</v>
          </cell>
          <cell r="H104">
            <v>22.720084920578469</v>
          </cell>
          <cell r="I104">
            <v>19.332729783998978</v>
          </cell>
          <cell r="J104">
            <v>21.066752774026888</v>
          </cell>
          <cell r="K104">
            <v>18.458623833676384</v>
          </cell>
          <cell r="L104">
            <v>21.221380616285074</v>
          </cell>
          <cell r="M104">
            <v>18.225853094274147</v>
          </cell>
          <cell r="N104">
            <v>22.002893028506914</v>
          </cell>
          <cell r="O104">
            <v>21.026639608675762</v>
          </cell>
          <cell r="P104">
            <v>18.628478870940402</v>
          </cell>
          <cell r="Q104">
            <v>18.628478870940402</v>
          </cell>
          <cell r="R104">
            <v>19.589488774419284</v>
          </cell>
          <cell r="S104">
            <v>23.977225529558353</v>
          </cell>
          <cell r="T104">
            <v>21.519699923558726</v>
          </cell>
          <cell r="U104">
            <v>20.382548524035041</v>
          </cell>
          <cell r="V104">
            <v>24.007967996672704</v>
          </cell>
        </row>
        <row r="105">
          <cell r="B105" t="str">
            <v>Santa Fe-Santo Tomé</v>
          </cell>
          <cell r="C105">
            <v>16.058355901109461</v>
          </cell>
          <cell r="D105">
            <v>16.439413429379986</v>
          </cell>
          <cell r="E105">
            <v>14.761987136139897</v>
          </cell>
          <cell r="F105">
            <v>15.389505229223108</v>
          </cell>
          <cell r="G105">
            <v>16.886175032885657</v>
          </cell>
          <cell r="H105">
            <v>16.51295494141905</v>
          </cell>
          <cell r="I105">
            <v>16.190009948991676</v>
          </cell>
          <cell r="J105">
            <v>19.264490988796883</v>
          </cell>
          <cell r="K105">
            <v>15.758013845255636</v>
          </cell>
          <cell r="L105">
            <v>15.228478321228684</v>
          </cell>
          <cell r="M105">
            <v>14.267205719369997</v>
          </cell>
          <cell r="N105">
            <v>17.507902518609157</v>
          </cell>
          <cell r="O105">
            <v>17.831177202476429</v>
          </cell>
          <cell r="P105">
            <v>17.196897211591033</v>
          </cell>
          <cell r="Q105">
            <v>17.196897211591033</v>
          </cell>
          <cell r="R105">
            <v>21.788773940411836</v>
          </cell>
          <cell r="S105">
            <v>19.809284172301886</v>
          </cell>
          <cell r="T105">
            <v>17.644871489766778</v>
          </cell>
          <cell r="U105">
            <v>18.18975298943877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20.94909191822639</v>
          </cell>
          <cell r="E106">
            <v>18.919493455616628</v>
          </cell>
          <cell r="F106">
            <v>23.582954075299959</v>
          </cell>
          <cell r="G106">
            <v>22.647274505011001</v>
          </cell>
          <cell r="H106">
            <v>23.08229745858927</v>
          </cell>
          <cell r="I106">
            <v>23.507384440250441</v>
          </cell>
          <cell r="J106">
            <v>26.975511234536732</v>
          </cell>
          <cell r="K106">
            <v>23.529965189575687</v>
          </cell>
          <cell r="L106">
            <v>22.892034595575137</v>
          </cell>
          <cell r="M106">
            <v>24.994139905568762</v>
          </cell>
          <cell r="N106">
            <v>27.083215477739436</v>
          </cell>
          <cell r="O106">
            <v>25.005240540823813</v>
          </cell>
          <cell r="P106">
            <v>23.080649067570842</v>
          </cell>
          <cell r="Q106">
            <v>25.20205160087038</v>
          </cell>
          <cell r="R106">
            <v>30.574845679012348</v>
          </cell>
          <cell r="S106">
            <v>26.461895714587293</v>
          </cell>
          <cell r="T106">
            <v>26.395516170567294</v>
          </cell>
          <cell r="U106">
            <v>29.070844686648499</v>
          </cell>
          <cell r="V106">
            <v>28.158647594278285</v>
          </cell>
        </row>
        <row r="107">
          <cell r="B107" t="str">
            <v>Ushuaia-Río Grande</v>
          </cell>
          <cell r="C107" t="str">
            <v>...</v>
          </cell>
          <cell r="D107">
            <v>22.436087256934162</v>
          </cell>
          <cell r="E107">
            <v>17.969048528849829</v>
          </cell>
          <cell r="F107">
            <v>22.912423625254583</v>
          </cell>
          <cell r="G107">
            <v>21.325986812392738</v>
          </cell>
          <cell r="H107">
            <v>20.110718717190036</v>
          </cell>
          <cell r="I107">
            <v>22.727272727272727</v>
          </cell>
          <cell r="J107">
            <v>21.376811594202898</v>
          </cell>
          <cell r="K107">
            <v>21.440536013400337</v>
          </cell>
          <cell r="L107">
            <v>22.536356246048232</v>
          </cell>
          <cell r="M107">
            <v>18.721772475500639</v>
          </cell>
          <cell r="N107">
            <v>19.594161052293874</v>
          </cell>
          <cell r="O107">
            <v>18.464657764105432</v>
          </cell>
          <cell r="P107">
            <v>17.397023191415713</v>
          </cell>
          <cell r="Q107">
            <v>16.738197424892704</v>
          </cell>
          <cell r="R107">
            <v>18.489026995533113</v>
          </cell>
          <cell r="S107">
            <v>17.831429990069513</v>
          </cell>
          <cell r="T107">
            <v>15.523974137379168</v>
          </cell>
          <cell r="U107">
            <v>17.965981573352234</v>
          </cell>
          <cell r="V107">
            <v>14.506726457399102</v>
          </cell>
        </row>
        <row r="108">
          <cell r="B108" t="str">
            <v>Gran Tucumán y Tafí Viejo</v>
          </cell>
          <cell r="C108">
            <v>19.250365736770419</v>
          </cell>
          <cell r="D108">
            <v>22.881315310133257</v>
          </cell>
          <cell r="E108">
            <v>15.788358608385369</v>
          </cell>
          <cell r="F108">
            <v>23.381146202903597</v>
          </cell>
          <cell r="G108">
            <v>24.371268515207664</v>
          </cell>
          <cell r="H108">
            <v>24.301681813433614</v>
          </cell>
          <cell r="I108">
            <v>24.644756899657814</v>
          </cell>
          <cell r="J108">
            <v>25.340761885109654</v>
          </cell>
          <cell r="K108">
            <v>24.377656344869457</v>
          </cell>
          <cell r="L108">
            <v>21.397492254174917</v>
          </cell>
          <cell r="M108">
            <v>25.588502700156639</v>
          </cell>
          <cell r="N108">
            <v>23.263617511280625</v>
          </cell>
          <cell r="O108">
            <v>22.271283679950823</v>
          </cell>
          <cell r="P108">
            <v>22.009743257312351</v>
          </cell>
          <cell r="Q108">
            <v>21.327692688880528</v>
          </cell>
          <cell r="R108">
            <v>26.054666493593192</v>
          </cell>
          <cell r="S108">
            <v>25.509081415731178</v>
          </cell>
          <cell r="T108">
            <v>24.650038669760246</v>
          </cell>
          <cell r="U108">
            <v>27.929420174880349</v>
          </cell>
          <cell r="V108">
            <v>23.562073695484695</v>
          </cell>
        </row>
        <row r="109">
          <cell r="B109" t="str">
            <v>Total aglomerados del interior</v>
          </cell>
          <cell r="C109">
            <v>19.355502625198042</v>
          </cell>
          <cell r="D109">
            <v>21.604693683672835</v>
          </cell>
          <cell r="E109">
            <v>20.690061565044907</v>
          </cell>
          <cell r="F109">
            <v>22.36561330516744</v>
          </cell>
          <cell r="G109">
            <v>22.264728998532242</v>
          </cell>
          <cell r="H109">
            <v>22.83841693975296</v>
          </cell>
          <cell r="I109">
            <v>22.657273246914542</v>
          </cell>
          <cell r="J109">
            <v>23.418307868311089</v>
          </cell>
          <cell r="K109">
            <v>22.261581315760257</v>
          </cell>
          <cell r="L109">
            <v>21.884131081382094</v>
          </cell>
          <cell r="M109">
            <v>20.401612468914831</v>
          </cell>
          <cell r="N109">
            <v>21.414324759969166</v>
          </cell>
          <cell r="O109">
            <v>22.2997078303401</v>
          </cell>
          <cell r="P109">
            <v>21.987180048442955</v>
          </cell>
          <cell r="Q109">
            <v>21.295185243239096</v>
          </cell>
          <cell r="R109">
            <v>23.273704937411065</v>
          </cell>
          <cell r="S109">
            <v>23.520951022081409</v>
          </cell>
          <cell r="T109">
            <v>21.99375360430367</v>
          </cell>
          <cell r="U109">
            <v>24.886260091119812</v>
          </cell>
          <cell r="V109">
            <v>24.708539093196858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76"/>
  <sheetViews>
    <sheetView showGridLines="0" tabSelected="1" zoomScaleNormal="100" workbookViewId="0">
      <selection activeCell="A4" sqref="A4"/>
    </sheetView>
  </sheetViews>
  <sheetFormatPr baseColWidth="10" defaultColWidth="0" defaultRowHeight="12.5" x14ac:dyDescent="0.25"/>
  <cols>
    <col min="1" max="1" width="54.54296875" style="13" customWidth="1"/>
    <col min="2" max="88" width="16.26953125" style="13" customWidth="1"/>
    <col min="89" max="269" width="9.81640625" style="13" customWidth="1"/>
    <col min="270" max="279" width="0" style="13" hidden="1" customWidth="1"/>
    <col min="280" max="16384" width="11.453125" style="13" hidden="1"/>
  </cols>
  <sheetData>
    <row r="1" spans="1:88" s="12" customFormat="1" ht="22.5" customHeight="1" x14ac:dyDescent="0.25">
      <c r="A1" s="43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45.75" customHeight="1" x14ac:dyDescent="0.25">
      <c r="A2" s="48" t="s">
        <v>147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 s="12" customFormat="1" ht="24" customHeight="1" x14ac:dyDescent="0.25">
      <c r="A3" s="44" t="s">
        <v>61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</row>
    <row r="4" spans="1:88" s="34" customFormat="1" ht="30" customHeight="1" thickBot="1" x14ac:dyDescent="0.3">
      <c r="A4" s="49" t="s">
        <v>160</v>
      </c>
      <c r="B4" s="33" t="s">
        <v>108</v>
      </c>
      <c r="C4" s="33" t="s">
        <v>109</v>
      </c>
      <c r="D4" s="33" t="s">
        <v>110</v>
      </c>
      <c r="E4" s="33" t="s">
        <v>111</v>
      </c>
      <c r="F4" s="33" t="s">
        <v>112</v>
      </c>
      <c r="G4" s="33" t="s">
        <v>113</v>
      </c>
      <c r="H4" s="33" t="s">
        <v>114</v>
      </c>
      <c r="I4" s="33" t="s">
        <v>115</v>
      </c>
      <c r="J4" s="33" t="s">
        <v>116</v>
      </c>
      <c r="K4" s="33" t="s">
        <v>117</v>
      </c>
      <c r="L4" s="33" t="s">
        <v>49</v>
      </c>
      <c r="M4" s="33" t="s">
        <v>50</v>
      </c>
      <c r="N4" s="33" t="s">
        <v>51</v>
      </c>
      <c r="O4" s="33" t="s">
        <v>52</v>
      </c>
      <c r="P4" s="33" t="s">
        <v>53</v>
      </c>
      <c r="Q4" s="33" t="s">
        <v>67</v>
      </c>
      <c r="R4" s="33" t="s">
        <v>118</v>
      </c>
      <c r="S4" s="33" t="s">
        <v>68</v>
      </c>
      <c r="T4" s="33" t="s">
        <v>69</v>
      </c>
      <c r="U4" s="33" t="s">
        <v>70</v>
      </c>
      <c r="V4" s="33" t="s">
        <v>71</v>
      </c>
      <c r="W4" s="33" t="s">
        <v>72</v>
      </c>
      <c r="X4" s="33" t="s">
        <v>73</v>
      </c>
      <c r="Y4" s="33" t="s">
        <v>74</v>
      </c>
      <c r="Z4" s="33" t="s">
        <v>75</v>
      </c>
      <c r="AA4" s="33" t="s">
        <v>76</v>
      </c>
      <c r="AB4" s="33" t="s">
        <v>77</v>
      </c>
      <c r="AC4" s="33" t="s">
        <v>78</v>
      </c>
      <c r="AD4" s="33" t="s">
        <v>79</v>
      </c>
      <c r="AE4" s="33" t="s">
        <v>80</v>
      </c>
      <c r="AF4" s="33" t="s">
        <v>81</v>
      </c>
      <c r="AG4" s="33" t="s">
        <v>82</v>
      </c>
      <c r="AH4" s="33" t="s">
        <v>83</v>
      </c>
      <c r="AI4" s="33" t="s">
        <v>84</v>
      </c>
      <c r="AJ4" s="33" t="s">
        <v>85</v>
      </c>
      <c r="AK4" s="33" t="s">
        <v>86</v>
      </c>
      <c r="AL4" s="33" t="s">
        <v>87</v>
      </c>
      <c r="AM4" s="33" t="s">
        <v>88</v>
      </c>
      <c r="AN4" s="33" t="s">
        <v>89</v>
      </c>
      <c r="AO4" s="33" t="s">
        <v>90</v>
      </c>
      <c r="AP4" s="33" t="s">
        <v>91</v>
      </c>
      <c r="AQ4" s="33" t="s">
        <v>92</v>
      </c>
      <c r="AR4" s="33" t="s">
        <v>119</v>
      </c>
      <c r="AS4" s="33" t="s">
        <v>93</v>
      </c>
      <c r="AT4" s="33" t="s">
        <v>94</v>
      </c>
      <c r="AU4" s="33" t="s">
        <v>95</v>
      </c>
      <c r="AV4" s="33" t="s">
        <v>96</v>
      </c>
      <c r="AW4" s="33" t="s">
        <v>97</v>
      </c>
      <c r="AX4" s="33" t="s">
        <v>98</v>
      </c>
      <c r="AY4" s="33" t="s">
        <v>99</v>
      </c>
      <c r="AZ4" s="33" t="s">
        <v>121</v>
      </c>
      <c r="BA4" s="33" t="s">
        <v>65</v>
      </c>
      <c r="BB4" s="33" t="s">
        <v>66</v>
      </c>
      <c r="BC4" s="33" t="s">
        <v>100</v>
      </c>
      <c r="BD4" s="33" t="s">
        <v>101</v>
      </c>
      <c r="BE4" s="33" t="s">
        <v>102</v>
      </c>
      <c r="BF4" s="33" t="s">
        <v>103</v>
      </c>
      <c r="BG4" s="33" t="s">
        <v>104</v>
      </c>
      <c r="BH4" s="33" t="s">
        <v>105</v>
      </c>
      <c r="BI4" s="33" t="s">
        <v>106</v>
      </c>
      <c r="BJ4" s="33" t="s">
        <v>107</v>
      </c>
      <c r="BK4" s="33" t="s">
        <v>120</v>
      </c>
      <c r="BL4" s="33" t="s">
        <v>123</v>
      </c>
      <c r="BM4" s="33" t="s">
        <v>122</v>
      </c>
      <c r="BN4" s="33" t="s">
        <v>124</v>
      </c>
      <c r="BO4" s="33" t="s">
        <v>125</v>
      </c>
      <c r="BP4" s="33" t="s">
        <v>126</v>
      </c>
      <c r="BQ4" s="33" t="s">
        <v>127</v>
      </c>
      <c r="BR4" s="33" t="s">
        <v>128</v>
      </c>
      <c r="BS4" s="33" t="s">
        <v>129</v>
      </c>
      <c r="BT4" s="33" t="s">
        <v>130</v>
      </c>
      <c r="BU4" s="33" t="s">
        <v>131</v>
      </c>
      <c r="BV4" s="33" t="s">
        <v>132</v>
      </c>
      <c r="BW4" s="33" t="s">
        <v>133</v>
      </c>
      <c r="BX4" s="33" t="s">
        <v>134</v>
      </c>
      <c r="BY4" s="33" t="s">
        <v>135</v>
      </c>
      <c r="BZ4" s="33" t="s">
        <v>136</v>
      </c>
      <c r="CA4" s="33" t="s">
        <v>137</v>
      </c>
      <c r="CB4" s="33" t="s">
        <v>138</v>
      </c>
      <c r="CC4" s="33" t="s">
        <v>139</v>
      </c>
      <c r="CD4" s="33" t="s">
        <v>140</v>
      </c>
      <c r="CE4" s="33" t="s">
        <v>141</v>
      </c>
      <c r="CF4" s="33" t="s">
        <v>142</v>
      </c>
      <c r="CG4" s="33" t="s">
        <v>143</v>
      </c>
      <c r="CH4" s="33" t="s">
        <v>144</v>
      </c>
      <c r="CI4" s="33" t="s">
        <v>145</v>
      </c>
      <c r="CJ4" s="33" t="s">
        <v>146</v>
      </c>
    </row>
    <row r="5" spans="1:88" s="14" customFormat="1" ht="30" customHeight="1" thickBot="1" x14ac:dyDescent="0.3">
      <c r="A5" s="3" t="s">
        <v>0</v>
      </c>
      <c r="B5" s="4">
        <f>+B7+B8</f>
        <v>2595.1292130235724</v>
      </c>
      <c r="C5" s="4">
        <f t="shared" ref="C5:K5" si="0">+C7+C8</f>
        <v>2659.8728069696172</v>
      </c>
      <c r="D5" s="4">
        <f t="shared" si="0"/>
        <v>2624.1612351296553</v>
      </c>
      <c r="E5" s="4">
        <f t="shared" si="0"/>
        <v>2732.7730746448451</v>
      </c>
      <c r="F5" s="4">
        <f t="shared" si="0"/>
        <v>2751.7285768000297</v>
      </c>
      <c r="G5" s="4">
        <f t="shared" si="0"/>
        <v>2908.7367736935012</v>
      </c>
      <c r="H5" s="4">
        <f t="shared" si="0"/>
        <v>2831.9023689377927</v>
      </c>
      <c r="I5" s="4">
        <f t="shared" si="0"/>
        <v>2850.0614568602687</v>
      </c>
      <c r="J5" s="4">
        <f t="shared" si="0"/>
        <v>2921.1139523023448</v>
      </c>
      <c r="K5" s="4">
        <f t="shared" si="0"/>
        <v>2971.6842840988847</v>
      </c>
      <c r="L5" s="4">
        <f t="shared" ref="L5:AP5" si="1">+L7+L8</f>
        <v>2849.7109762870004</v>
      </c>
      <c r="M5" s="4">
        <f t="shared" si="1"/>
        <v>2915.6576594159205</v>
      </c>
      <c r="N5" s="4">
        <f t="shared" si="1"/>
        <v>2936.1432151834842</v>
      </c>
      <c r="O5" s="4">
        <f t="shared" si="1"/>
        <v>2997.1429091901855</v>
      </c>
      <c r="P5" s="4">
        <f t="shared" si="1"/>
        <v>2890.9093628471401</v>
      </c>
      <c r="Q5" s="4">
        <f t="shared" si="1"/>
        <v>2936.5030936952739</v>
      </c>
      <c r="R5" s="40">
        <f>+(Q5+S5)/2</f>
        <v>2929.1454725142203</v>
      </c>
      <c r="S5" s="4">
        <f t="shared" si="1"/>
        <v>2921.7878513331671</v>
      </c>
      <c r="T5" s="4">
        <f t="shared" si="1"/>
        <v>2773.0818766481207</v>
      </c>
      <c r="U5" s="4">
        <f t="shared" si="1"/>
        <v>2712.2600838635949</v>
      </c>
      <c r="V5" s="4">
        <f t="shared" si="1"/>
        <v>2714.3751306300937</v>
      </c>
      <c r="W5" s="4">
        <f t="shared" si="1"/>
        <v>2915.3404843802809</v>
      </c>
      <c r="X5" s="4">
        <f t="shared" si="1"/>
        <v>2760.7000852945212</v>
      </c>
      <c r="Y5" s="4">
        <f t="shared" si="1"/>
        <v>2733.0042536867654</v>
      </c>
      <c r="Z5" s="4">
        <f t="shared" si="1"/>
        <v>2761.0684626134844</v>
      </c>
      <c r="AA5" s="4">
        <f t="shared" si="1"/>
        <v>2794.3511917230812</v>
      </c>
      <c r="AB5" s="4">
        <f t="shared" si="1"/>
        <v>2692.525521211604</v>
      </c>
      <c r="AC5" s="4">
        <f t="shared" si="1"/>
        <v>2868.0597451447325</v>
      </c>
      <c r="AD5" s="4">
        <f t="shared" si="1"/>
        <v>2829.7769600339698</v>
      </c>
      <c r="AE5" s="4">
        <f t="shared" si="1"/>
        <v>2711.2638959952983</v>
      </c>
      <c r="AF5" s="4">
        <f t="shared" si="1"/>
        <v>2702.2192271474969</v>
      </c>
      <c r="AG5" s="4">
        <f t="shared" si="1"/>
        <v>2805.1598664293779</v>
      </c>
      <c r="AH5" s="4">
        <f t="shared" si="1"/>
        <v>2813.8425494289068</v>
      </c>
      <c r="AI5" s="4">
        <f t="shared" si="1"/>
        <v>2810.9963831837622</v>
      </c>
      <c r="AJ5" s="4">
        <f t="shared" si="1"/>
        <v>2678.7086520768958</v>
      </c>
      <c r="AK5" s="4">
        <f t="shared" si="1"/>
        <v>2768.6252884452952</v>
      </c>
      <c r="AL5" s="4">
        <f t="shared" si="1"/>
        <v>2925.156686948314</v>
      </c>
      <c r="AM5" s="4">
        <f t="shared" si="1"/>
        <v>2880.5320677346081</v>
      </c>
      <c r="AN5" s="4">
        <f t="shared" si="1"/>
        <v>2597.62170067235</v>
      </c>
      <c r="AO5" s="4">
        <f t="shared" si="1"/>
        <v>2831.2170147017159</v>
      </c>
      <c r="AP5" s="4">
        <f t="shared" si="1"/>
        <v>2893.7104096300091</v>
      </c>
      <c r="AQ5" s="32">
        <v>2786.7734953274194</v>
      </c>
      <c r="AR5" s="32">
        <v>2665.9846248860254</v>
      </c>
      <c r="AS5" s="4">
        <v>2651.4242074224812</v>
      </c>
      <c r="AT5" s="4">
        <v>2701.7101798447825</v>
      </c>
      <c r="AU5" s="4">
        <v>2804.6713959274293</v>
      </c>
      <c r="AV5" s="4">
        <v>2602.9554230369376</v>
      </c>
      <c r="AW5" s="4">
        <v>2705.7220496845571</v>
      </c>
      <c r="AX5" s="40">
        <f>+(AW5+BA5)/2</f>
        <v>2732.1917699948676</v>
      </c>
      <c r="AY5" s="40">
        <f>+(AX5+BA5)/2</f>
        <v>2745.4266301500229</v>
      </c>
      <c r="AZ5" s="40">
        <f>+(AY5+BA5)/2</f>
        <v>2752.0440602276003</v>
      </c>
      <c r="BA5" s="4">
        <v>2758.6614903051782</v>
      </c>
      <c r="BB5" s="4">
        <v>2855.0005649869522</v>
      </c>
      <c r="BC5" s="4">
        <v>2839.7607798432477</v>
      </c>
      <c r="BD5" s="4">
        <v>2736.8796514477499</v>
      </c>
      <c r="BE5" s="4">
        <v>2818.3792530513465</v>
      </c>
      <c r="BF5" s="4">
        <v>2923.2465717000009</v>
      </c>
      <c r="BG5" s="4">
        <v>2947.1860599999995</v>
      </c>
      <c r="BH5" s="4">
        <v>2817.4150868846777</v>
      </c>
      <c r="BI5" s="4">
        <v>2873.7966875000002</v>
      </c>
      <c r="BJ5" s="4">
        <v>2936.2358520000007</v>
      </c>
      <c r="BK5" s="4">
        <v>3014.131824000001</v>
      </c>
      <c r="BL5" s="4">
        <v>3005.3879999999999</v>
      </c>
      <c r="BM5" s="4">
        <v>2968.3029999999999</v>
      </c>
      <c r="BN5" s="4">
        <v>2968.1228167076056</v>
      </c>
      <c r="BO5" s="4">
        <v>3069.1089999999999</v>
      </c>
      <c r="BP5" s="4">
        <v>3052.7930000000001</v>
      </c>
      <c r="BQ5" s="4">
        <v>1650.789</v>
      </c>
      <c r="BR5" s="4">
        <v>2090.4769999999999</v>
      </c>
      <c r="BS5" s="4">
        <v>2555.6930000000002</v>
      </c>
      <c r="BT5" s="4">
        <v>2658.9270000000001</v>
      </c>
      <c r="BU5" s="4">
        <v>2589.174</v>
      </c>
      <c r="BV5" s="4">
        <v>2795.3</v>
      </c>
      <c r="BW5" s="4">
        <v>2917.9920000000002</v>
      </c>
      <c r="BX5" s="4">
        <v>3149.16</v>
      </c>
      <c r="BY5" s="4">
        <v>3412.1260000000002</v>
      </c>
      <c r="BZ5" s="4">
        <v>3277.194</v>
      </c>
      <c r="CA5" s="4">
        <v>3219.835</v>
      </c>
      <c r="CB5" s="4">
        <v>3389.0940000000001</v>
      </c>
      <c r="CC5" s="4">
        <v>3389.4879999999998</v>
      </c>
      <c r="CD5" s="4">
        <v>3388.9609999999998</v>
      </c>
      <c r="CE5" s="4">
        <v>3282.7930000000001</v>
      </c>
      <c r="CF5" s="4">
        <v>3259.4380000000001</v>
      </c>
      <c r="CG5" s="4">
        <v>3355.0650000000001</v>
      </c>
      <c r="CH5" s="4">
        <v>3387.6860000000001</v>
      </c>
      <c r="CI5" s="4">
        <v>3446.19</v>
      </c>
      <c r="CJ5" s="4">
        <v>3423.6959999999999</v>
      </c>
    </row>
    <row r="6" spans="1:88" ht="20.149999999999999" customHeight="1" thickBot="1" x14ac:dyDescent="0.3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5"/>
      <c r="Z6" s="15"/>
      <c r="AA6" s="15"/>
      <c r="AB6" s="15"/>
      <c r="AC6" s="15"/>
      <c r="AD6" s="15"/>
      <c r="AE6" s="15"/>
      <c r="AF6" s="15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5"/>
      <c r="AY6" s="5"/>
      <c r="AZ6" s="29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</row>
    <row r="7" spans="1:88" ht="20.149999999999999" customHeight="1" x14ac:dyDescent="0.25">
      <c r="A7" s="10" t="s">
        <v>2</v>
      </c>
      <c r="B7" s="16">
        <v>1354.202247424435</v>
      </c>
      <c r="C7" s="16">
        <v>1419.7384426362935</v>
      </c>
      <c r="D7" s="16">
        <v>1464.420201913327</v>
      </c>
      <c r="E7" s="16">
        <v>1457.6987680175951</v>
      </c>
      <c r="F7" s="16">
        <v>1486.0925609793424</v>
      </c>
      <c r="G7" s="16">
        <v>1583.3308196503012</v>
      </c>
      <c r="H7" s="16">
        <v>1519.3217431665762</v>
      </c>
      <c r="I7" s="16">
        <v>1483.6293130926151</v>
      </c>
      <c r="J7" s="16">
        <v>1592.2211390410323</v>
      </c>
      <c r="K7" s="16">
        <v>1580.858803452812</v>
      </c>
      <c r="L7" s="16">
        <v>1463.7431193967659</v>
      </c>
      <c r="M7" s="16">
        <v>1519.799970507225</v>
      </c>
      <c r="N7" s="16">
        <v>1531.9212043592481</v>
      </c>
      <c r="O7" s="16">
        <v>1537.8114428689901</v>
      </c>
      <c r="P7" s="16">
        <v>1479.0939275423923</v>
      </c>
      <c r="Q7" s="16">
        <v>1521.8403706545107</v>
      </c>
      <c r="R7" s="40">
        <f t="shared" ref="R7:R8" si="2">+(Q7+S7)/2</f>
        <v>1482.6975875022288</v>
      </c>
      <c r="S7" s="17">
        <v>1443.5548043499468</v>
      </c>
      <c r="T7" s="16">
        <v>1377.1228531049853</v>
      </c>
      <c r="U7" s="16">
        <v>1399.5944171733056</v>
      </c>
      <c r="V7" s="16">
        <v>1336.4734780758602</v>
      </c>
      <c r="W7" s="16">
        <v>1472.2864047860564</v>
      </c>
      <c r="X7" s="16">
        <v>1392.0644485636171</v>
      </c>
      <c r="Y7" s="16">
        <v>1382.3085362385132</v>
      </c>
      <c r="Z7" s="16">
        <v>1390.3995120925827</v>
      </c>
      <c r="AA7" s="16">
        <v>1434.1271072848674</v>
      </c>
      <c r="AB7" s="16">
        <v>1367.9596744691476</v>
      </c>
      <c r="AC7" s="16">
        <v>1443.2212178974019</v>
      </c>
      <c r="AD7" s="16">
        <v>1414.0397307905541</v>
      </c>
      <c r="AE7" s="16">
        <v>1433.3652155623706</v>
      </c>
      <c r="AF7" s="16">
        <v>1423.5451773972725</v>
      </c>
      <c r="AG7" s="16">
        <v>1409.8763380778139</v>
      </c>
      <c r="AH7" s="16">
        <v>1408.8170547852703</v>
      </c>
      <c r="AI7" s="16">
        <v>1434.8732386555625</v>
      </c>
      <c r="AJ7" s="16">
        <v>1388.7589751564226</v>
      </c>
      <c r="AK7" s="16">
        <v>1381.816192372341</v>
      </c>
      <c r="AL7" s="16">
        <v>1511.0752141896958</v>
      </c>
      <c r="AM7" s="16">
        <v>1515.604586699809</v>
      </c>
      <c r="AN7" s="16">
        <v>1338.5207887861286</v>
      </c>
      <c r="AO7" s="16">
        <v>1513.6828309261473</v>
      </c>
      <c r="AP7" s="16">
        <v>1520.5317353891933</v>
      </c>
      <c r="AQ7" s="16">
        <v>1500.0037076193344</v>
      </c>
      <c r="AR7" s="16">
        <v>1412.7681087576611</v>
      </c>
      <c r="AS7" s="16">
        <v>1367.222563671573</v>
      </c>
      <c r="AT7" s="16">
        <v>1408.8390720550012</v>
      </c>
      <c r="AU7" s="16">
        <v>1490.5488549174108</v>
      </c>
      <c r="AV7" s="16">
        <v>1380.0172091632962</v>
      </c>
      <c r="AW7" s="16">
        <v>1453.8471483140827</v>
      </c>
      <c r="AX7" s="40">
        <f t="shared" ref="AX7:AX8" si="3">+(AW7+BA7)/2</f>
        <v>1465.2387917615845</v>
      </c>
      <c r="AY7" s="40">
        <f t="shared" ref="AY7:AY8" si="4">+(AX7+BA7)/2</f>
        <v>1470.9346134853354</v>
      </c>
      <c r="AZ7" s="40">
        <f t="shared" ref="AZ7:AZ8" si="5">+(AY7+BA7)/2</f>
        <v>1473.7825243472107</v>
      </c>
      <c r="BA7" s="16">
        <v>1476.6304352090863</v>
      </c>
      <c r="BB7" s="16">
        <v>1456.297013176566</v>
      </c>
      <c r="BC7" s="16">
        <v>1439.4177837842758</v>
      </c>
      <c r="BD7" s="16">
        <v>1456.9865480354244</v>
      </c>
      <c r="BE7" s="16">
        <v>1466.1710281654948</v>
      </c>
      <c r="BF7" s="16">
        <v>1536.5156352000004</v>
      </c>
      <c r="BG7" s="16">
        <v>1529.9328500000001</v>
      </c>
      <c r="BH7" s="16">
        <v>1472.7633678710977</v>
      </c>
      <c r="BI7" s="16">
        <v>1456.0061567000002</v>
      </c>
      <c r="BJ7" s="16">
        <v>1505.9379654000004</v>
      </c>
      <c r="BK7" s="16">
        <v>1516.7620116000003</v>
      </c>
      <c r="BL7" s="16">
        <v>1543.9480000000001</v>
      </c>
      <c r="BM7" s="16">
        <v>1550.65</v>
      </c>
      <c r="BN7" s="16">
        <v>1591.0091162515919</v>
      </c>
      <c r="BO7" s="16">
        <v>1586.42</v>
      </c>
      <c r="BP7" s="16">
        <v>1586.482</v>
      </c>
      <c r="BQ7" s="16">
        <v>857.50300000000004</v>
      </c>
      <c r="BR7" s="16">
        <v>1133.153</v>
      </c>
      <c r="BS7" s="16">
        <v>1407.876</v>
      </c>
      <c r="BT7" s="16">
        <v>1500.508</v>
      </c>
      <c r="BU7" s="16">
        <v>1364.8969999999999</v>
      </c>
      <c r="BV7" s="16">
        <v>1417.991</v>
      </c>
      <c r="BW7" s="16">
        <v>1538.846</v>
      </c>
      <c r="BX7" s="16">
        <v>1651.404</v>
      </c>
      <c r="BY7" s="16">
        <v>1834.1179999999999</v>
      </c>
      <c r="BZ7" s="16">
        <v>1731.972</v>
      </c>
      <c r="CA7" s="16">
        <v>1685.0340000000001</v>
      </c>
      <c r="CB7" s="16">
        <v>1753.4549999999999</v>
      </c>
      <c r="CC7" s="16">
        <v>1818.2940000000001</v>
      </c>
      <c r="CD7" s="16">
        <v>1802.7950000000001</v>
      </c>
      <c r="CE7" s="16">
        <v>1756.068</v>
      </c>
      <c r="CF7" s="16">
        <v>1731.1579999999999</v>
      </c>
      <c r="CG7" s="16">
        <v>1725.9559999999999</v>
      </c>
      <c r="CH7" s="16">
        <v>1792.8579999999999</v>
      </c>
      <c r="CI7" s="16">
        <v>1763.548</v>
      </c>
      <c r="CJ7" s="16">
        <v>1823.058</v>
      </c>
    </row>
    <row r="8" spans="1:88" ht="20.149999999999999" customHeight="1" x14ac:dyDescent="0.25">
      <c r="A8" s="10" t="s">
        <v>3</v>
      </c>
      <c r="B8" s="16">
        <v>1240.9269655991372</v>
      </c>
      <c r="C8" s="16">
        <v>1240.1343643333234</v>
      </c>
      <c r="D8" s="16">
        <v>1159.7410332163281</v>
      </c>
      <c r="E8" s="16">
        <v>1275.0743066272498</v>
      </c>
      <c r="F8" s="16">
        <v>1265.6360158206874</v>
      </c>
      <c r="G8" s="16">
        <v>1325.4059540432002</v>
      </c>
      <c r="H8" s="16">
        <v>1312.5806257712163</v>
      </c>
      <c r="I8" s="16">
        <v>1366.4321437676533</v>
      </c>
      <c r="J8" s="16">
        <v>1328.8928132613128</v>
      </c>
      <c r="K8" s="16">
        <v>1390.8254806460727</v>
      </c>
      <c r="L8" s="16">
        <v>1385.9678568902343</v>
      </c>
      <c r="M8" s="16">
        <v>1395.8576889086953</v>
      </c>
      <c r="N8" s="16">
        <v>1404.2220108242359</v>
      </c>
      <c r="O8" s="16">
        <v>1459.3314663211952</v>
      </c>
      <c r="P8" s="16">
        <v>1411.815435304748</v>
      </c>
      <c r="Q8" s="16">
        <v>1414.6627230407632</v>
      </c>
      <c r="R8" s="40">
        <f t="shared" si="2"/>
        <v>1446.4478850119917</v>
      </c>
      <c r="S8" s="17">
        <v>1478.2330469832204</v>
      </c>
      <c r="T8" s="16">
        <v>1395.9590235431356</v>
      </c>
      <c r="U8" s="16">
        <v>1312.6656666902893</v>
      </c>
      <c r="V8" s="16">
        <v>1377.9016525542334</v>
      </c>
      <c r="W8" s="16">
        <v>1443.0540795942247</v>
      </c>
      <c r="X8" s="16">
        <v>1368.635636730904</v>
      </c>
      <c r="Y8" s="16">
        <v>1350.6957174482523</v>
      </c>
      <c r="Z8" s="16">
        <v>1370.6689505209015</v>
      </c>
      <c r="AA8" s="16">
        <v>1360.2240844382138</v>
      </c>
      <c r="AB8" s="16">
        <v>1324.5658467424564</v>
      </c>
      <c r="AC8" s="16">
        <v>1424.8385272473306</v>
      </c>
      <c r="AD8" s="16">
        <v>1415.7372292434156</v>
      </c>
      <c r="AE8" s="16">
        <v>1277.8986804329274</v>
      </c>
      <c r="AF8" s="16">
        <v>1278.6740497502244</v>
      </c>
      <c r="AG8" s="16">
        <v>1395.2835283515642</v>
      </c>
      <c r="AH8" s="16">
        <v>1405.0254946436366</v>
      </c>
      <c r="AI8" s="16">
        <v>1376.1231445281996</v>
      </c>
      <c r="AJ8" s="16">
        <v>1289.9496769204732</v>
      </c>
      <c r="AK8" s="16">
        <v>1386.8090960729544</v>
      </c>
      <c r="AL8" s="16">
        <v>1414.0814727586185</v>
      </c>
      <c r="AM8" s="16">
        <v>1364.9274810347988</v>
      </c>
      <c r="AN8" s="16">
        <v>1259.1009118862212</v>
      </c>
      <c r="AO8" s="16">
        <v>1317.5341837755684</v>
      </c>
      <c r="AP8" s="16">
        <v>1373.178674240816</v>
      </c>
      <c r="AQ8" s="16">
        <v>1286.7697877080848</v>
      </c>
      <c r="AR8" s="16">
        <v>1253.216516128364</v>
      </c>
      <c r="AS8" s="16">
        <v>1284.201643750908</v>
      </c>
      <c r="AT8" s="16">
        <v>1292.871107789781</v>
      </c>
      <c r="AU8" s="16">
        <v>1314.122541010018</v>
      </c>
      <c r="AV8" s="16">
        <v>1222.9382138736414</v>
      </c>
      <c r="AW8" s="16">
        <v>1251.8749013704746</v>
      </c>
      <c r="AX8" s="40">
        <f t="shared" si="3"/>
        <v>1266.9529782332834</v>
      </c>
      <c r="AY8" s="40">
        <f t="shared" si="4"/>
        <v>1274.4920166646875</v>
      </c>
      <c r="AZ8" s="40">
        <f t="shared" si="5"/>
        <v>1278.2615358803896</v>
      </c>
      <c r="BA8" s="16">
        <v>1282.0310550960919</v>
      </c>
      <c r="BB8" s="16">
        <v>1398.7035518103858</v>
      </c>
      <c r="BC8" s="16">
        <v>1400.3429960589719</v>
      </c>
      <c r="BD8" s="16">
        <v>1279.893103412325</v>
      </c>
      <c r="BE8" s="16">
        <v>1352.2082248858515</v>
      </c>
      <c r="BF8" s="16">
        <v>1386.7309365000003</v>
      </c>
      <c r="BG8" s="16">
        <v>1417.2532099999999</v>
      </c>
      <c r="BH8" s="16">
        <v>1344.6517190135803</v>
      </c>
      <c r="BI8" s="16">
        <v>1417.7905308000002</v>
      </c>
      <c r="BJ8" s="16">
        <v>1430.2978866000003</v>
      </c>
      <c r="BK8" s="16">
        <v>1497.3698124000005</v>
      </c>
      <c r="BL8" s="16">
        <v>1461.44</v>
      </c>
      <c r="BM8" s="16">
        <v>1417.653</v>
      </c>
      <c r="BN8" s="16">
        <v>1377.1137004560139</v>
      </c>
      <c r="BO8" s="16">
        <v>1482.6890000000001</v>
      </c>
      <c r="BP8" s="16">
        <v>1466.3109999999999</v>
      </c>
      <c r="BQ8" s="16">
        <v>793.28599999999994</v>
      </c>
      <c r="BR8" s="16">
        <v>957.32399999999996</v>
      </c>
      <c r="BS8" s="16">
        <v>1147.817</v>
      </c>
      <c r="BT8" s="16">
        <v>1158.4190000000001</v>
      </c>
      <c r="BU8" s="16">
        <v>1224.277</v>
      </c>
      <c r="BV8" s="16">
        <v>1377.309</v>
      </c>
      <c r="BW8" s="16">
        <v>1379.146</v>
      </c>
      <c r="BX8" s="16">
        <v>1497.7560000000001</v>
      </c>
      <c r="BY8" s="16">
        <v>1578.008</v>
      </c>
      <c r="BZ8" s="16">
        <v>1545.222</v>
      </c>
      <c r="CA8" s="16">
        <v>1534.8009999999999</v>
      </c>
      <c r="CB8" s="16">
        <v>1635.6389999999999</v>
      </c>
      <c r="CC8" s="16">
        <v>1571.194</v>
      </c>
      <c r="CD8" s="16">
        <v>1586.1659999999999</v>
      </c>
      <c r="CE8" s="16">
        <v>1526.7249999999999</v>
      </c>
      <c r="CF8" s="16">
        <v>1528.28</v>
      </c>
      <c r="CG8" s="16">
        <v>1629.1089999999999</v>
      </c>
      <c r="CH8" s="16">
        <v>1594.828</v>
      </c>
      <c r="CI8" s="16">
        <v>1682.6420000000001</v>
      </c>
      <c r="CJ8" s="16">
        <v>1600.6379999999999</v>
      </c>
    </row>
    <row r="9" spans="1:88" ht="20.149999999999999" customHeight="1" thickBot="1" x14ac:dyDescent="0.3">
      <c r="A9" s="7" t="s">
        <v>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18"/>
      <c r="Z9" s="18"/>
      <c r="AA9" s="18"/>
      <c r="AB9" s="18"/>
      <c r="AC9" s="18"/>
      <c r="AD9" s="18"/>
      <c r="AE9" s="18"/>
      <c r="AF9" s="18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7"/>
      <c r="AY9" s="7"/>
      <c r="AZ9" s="28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</row>
    <row r="10" spans="1:88" ht="20.149999999999999" customHeight="1" x14ac:dyDescent="0.25">
      <c r="A10" s="10" t="s">
        <v>5</v>
      </c>
      <c r="B10" s="16">
        <v>656.51915945190547</v>
      </c>
      <c r="C10" s="16">
        <v>664.7980377968521</v>
      </c>
      <c r="D10" s="16">
        <v>654.88931893405424</v>
      </c>
      <c r="E10" s="16">
        <v>676.16080118742843</v>
      </c>
      <c r="F10" s="16">
        <v>689.36993535034856</v>
      </c>
      <c r="G10" s="16">
        <v>734.54417632606044</v>
      </c>
      <c r="H10" s="16">
        <v>645.45036491650865</v>
      </c>
      <c r="I10" s="16">
        <v>697.15252167465326</v>
      </c>
      <c r="J10" s="16">
        <v>717.15729874298825</v>
      </c>
      <c r="K10" s="16">
        <v>695.98713002435545</v>
      </c>
      <c r="L10" s="16">
        <v>692.73659530629482</v>
      </c>
      <c r="M10" s="16">
        <v>716.82928106930092</v>
      </c>
      <c r="N10" s="16">
        <v>726.39190918499366</v>
      </c>
      <c r="O10" s="16">
        <v>705.95003042441374</v>
      </c>
      <c r="P10" s="16">
        <v>659.73630274835148</v>
      </c>
      <c r="Q10" s="16">
        <v>678.77219072975686</v>
      </c>
      <c r="R10" s="40">
        <f t="shared" ref="R10:R14" si="6">+(Q10+S10)/2</f>
        <v>701.76231187982194</v>
      </c>
      <c r="S10" s="17">
        <v>724.75243302988702</v>
      </c>
      <c r="T10" s="16">
        <v>636.81960508224233</v>
      </c>
      <c r="U10" s="16">
        <v>643.59934188702425</v>
      </c>
      <c r="V10" s="16">
        <v>658.41249444216044</v>
      </c>
      <c r="W10" s="16">
        <v>700.65860014597808</v>
      </c>
      <c r="X10" s="16">
        <v>646.54662307008778</v>
      </c>
      <c r="Y10" s="16">
        <v>654.10298064822246</v>
      </c>
      <c r="Z10" s="16">
        <v>608.11888737660911</v>
      </c>
      <c r="AA10" s="16">
        <v>672.75887303078673</v>
      </c>
      <c r="AB10" s="16">
        <v>647.89117512084988</v>
      </c>
      <c r="AC10" s="16">
        <v>672.62095314121643</v>
      </c>
      <c r="AD10" s="16">
        <v>642.00823112425303</v>
      </c>
      <c r="AE10" s="16">
        <v>683.29113540752815</v>
      </c>
      <c r="AF10" s="16">
        <v>648.92489002285299</v>
      </c>
      <c r="AG10" s="16">
        <v>679.40100873476945</v>
      </c>
      <c r="AH10" s="16">
        <v>658.39356940577863</v>
      </c>
      <c r="AI10" s="16">
        <v>689.83034690016734</v>
      </c>
      <c r="AJ10" s="16">
        <v>635.28371099514322</v>
      </c>
      <c r="AK10" s="16">
        <v>653.04464297334732</v>
      </c>
      <c r="AL10" s="16">
        <v>724.92580099862823</v>
      </c>
      <c r="AM10" s="16">
        <v>704.42567773866847</v>
      </c>
      <c r="AN10" s="16">
        <v>610.67611576860645</v>
      </c>
      <c r="AO10" s="16">
        <v>691.84758580148014</v>
      </c>
      <c r="AP10" s="16">
        <v>733.30962923305754</v>
      </c>
      <c r="AQ10" s="16">
        <v>693.05935834652712</v>
      </c>
      <c r="AR10" s="16">
        <v>618.3363052239722</v>
      </c>
      <c r="AS10" s="16">
        <v>634.03458989315504</v>
      </c>
      <c r="AT10" s="16">
        <v>673.3833567611739</v>
      </c>
      <c r="AU10" s="16">
        <v>734.4747283193891</v>
      </c>
      <c r="AV10" s="16">
        <v>615.51279813534802</v>
      </c>
      <c r="AW10" s="16">
        <v>625.01680858585246</v>
      </c>
      <c r="AX10" s="40">
        <f t="shared" ref="AX10:AX14" si="7">+(AW10+BA10)/2</f>
        <v>626.68899036596986</v>
      </c>
      <c r="AY10" s="40">
        <f t="shared" ref="AY10:AY14" si="8">+(AX10+BA10)/2</f>
        <v>627.52508125602856</v>
      </c>
      <c r="AZ10" s="40">
        <f t="shared" ref="AZ10:AZ14" si="9">+(AY10+BA10)/2</f>
        <v>627.94312670105796</v>
      </c>
      <c r="BA10" s="16">
        <v>628.36117214608726</v>
      </c>
      <c r="BB10" s="16">
        <v>630.44565654149824</v>
      </c>
      <c r="BC10" s="16">
        <v>618.94135865057206</v>
      </c>
      <c r="BD10" s="16">
        <v>620.16344338164174</v>
      </c>
      <c r="BE10" s="16">
        <v>665.99724236840518</v>
      </c>
      <c r="BF10" s="16">
        <v>716.05281930000024</v>
      </c>
      <c r="BG10" s="16">
        <v>715.87688999999989</v>
      </c>
      <c r="BH10" s="16">
        <v>642.26848462090788</v>
      </c>
      <c r="BI10" s="16">
        <v>622.32360770000003</v>
      </c>
      <c r="BJ10" s="16">
        <v>667.5807996000002</v>
      </c>
      <c r="BK10" s="16">
        <v>702.29267460000028</v>
      </c>
      <c r="BL10" s="16">
        <v>613.67499999999995</v>
      </c>
      <c r="BM10" s="16">
        <v>608.81500000000005</v>
      </c>
      <c r="BN10" s="16">
        <v>633.24447584164932</v>
      </c>
      <c r="BO10" s="16">
        <v>660.149</v>
      </c>
      <c r="BP10" s="16">
        <v>659.57600000000002</v>
      </c>
      <c r="BQ10" s="16">
        <v>300.94600000000003</v>
      </c>
      <c r="BR10" s="16">
        <v>416.48700000000002</v>
      </c>
      <c r="BS10" s="16">
        <v>539.48599999999999</v>
      </c>
      <c r="BT10" s="16">
        <v>626.91</v>
      </c>
      <c r="BU10" s="16">
        <v>571.36300000000006</v>
      </c>
      <c r="BV10" s="16">
        <v>563.61199999999997</v>
      </c>
      <c r="BW10" s="16">
        <v>599.53499999999997</v>
      </c>
      <c r="BX10" s="16">
        <v>686.80799999999999</v>
      </c>
      <c r="BY10" s="16">
        <v>716.774</v>
      </c>
      <c r="BZ10" s="16">
        <v>725.25099999999998</v>
      </c>
      <c r="CA10" s="16">
        <v>698.25199999999995</v>
      </c>
      <c r="CB10" s="16">
        <v>726.91600000000005</v>
      </c>
      <c r="CC10" s="16">
        <v>693.95799999999997</v>
      </c>
      <c r="CD10" s="16">
        <v>736.07899999999995</v>
      </c>
      <c r="CE10" s="16">
        <v>734.13</v>
      </c>
      <c r="CF10" s="16">
        <v>638.20100000000002</v>
      </c>
      <c r="CG10" s="16">
        <v>712.38499999999999</v>
      </c>
      <c r="CH10" s="16">
        <v>705.58100000000002</v>
      </c>
      <c r="CI10" s="16">
        <v>771.24599999999998</v>
      </c>
      <c r="CJ10" s="16">
        <v>700.33100000000002</v>
      </c>
    </row>
    <row r="11" spans="1:88" ht="20.149999999999999" customHeight="1" x14ac:dyDescent="0.25">
      <c r="A11" s="10" t="s">
        <v>6</v>
      </c>
      <c r="B11" s="16">
        <v>752.94148054534355</v>
      </c>
      <c r="C11" s="16">
        <v>765.91482784220773</v>
      </c>
      <c r="D11" s="16">
        <v>775.69188315998076</v>
      </c>
      <c r="E11" s="16">
        <v>762.52509858299561</v>
      </c>
      <c r="F11" s="16">
        <v>774.13248396917174</v>
      </c>
      <c r="G11" s="16">
        <v>832.6636568280843</v>
      </c>
      <c r="H11" s="16">
        <v>828.28197010426766</v>
      </c>
      <c r="I11" s="16">
        <v>808.49289784729876</v>
      </c>
      <c r="J11" s="16">
        <v>817.74839380233129</v>
      </c>
      <c r="K11" s="16">
        <v>853.38732946124685</v>
      </c>
      <c r="L11" s="16">
        <v>768.85580114418781</v>
      </c>
      <c r="M11" s="16">
        <v>850.02645014608004</v>
      </c>
      <c r="N11" s="16">
        <v>865.25894345431618</v>
      </c>
      <c r="O11" s="16">
        <v>911.95819604762278</v>
      </c>
      <c r="P11" s="16">
        <v>815.09931274109226</v>
      </c>
      <c r="Q11" s="16">
        <v>858.60899452333263</v>
      </c>
      <c r="R11" s="40">
        <f t="shared" si="6"/>
        <v>840.75045247825415</v>
      </c>
      <c r="S11" s="17">
        <v>822.89191043317578</v>
      </c>
      <c r="T11" s="16">
        <v>786.47284207895689</v>
      </c>
      <c r="U11" s="16">
        <v>762.49536070165993</v>
      </c>
      <c r="V11" s="16">
        <v>775.08632953125084</v>
      </c>
      <c r="W11" s="16">
        <v>827.03408771441582</v>
      </c>
      <c r="X11" s="16">
        <v>771.36690180804862</v>
      </c>
      <c r="Y11" s="16">
        <v>757.3003949707354</v>
      </c>
      <c r="Z11" s="16">
        <v>786.42391010983022</v>
      </c>
      <c r="AA11" s="16">
        <v>799.01038046382394</v>
      </c>
      <c r="AB11" s="16">
        <v>748.87344558030043</v>
      </c>
      <c r="AC11" s="16">
        <v>808.18281362222274</v>
      </c>
      <c r="AD11" s="16">
        <v>811.96668465401342</v>
      </c>
      <c r="AE11" s="16">
        <v>719.920512901449</v>
      </c>
      <c r="AF11" s="16">
        <v>742.54781404662799</v>
      </c>
      <c r="AG11" s="16">
        <v>780.21266886177079</v>
      </c>
      <c r="AH11" s="16">
        <v>777.56291138921586</v>
      </c>
      <c r="AI11" s="16">
        <v>788.92704010596901</v>
      </c>
      <c r="AJ11" s="16">
        <v>749.2751415476348</v>
      </c>
      <c r="AK11" s="16">
        <v>770.55020867665996</v>
      </c>
      <c r="AL11" s="16">
        <v>817.21959986539412</v>
      </c>
      <c r="AM11" s="16">
        <v>801.52867853189969</v>
      </c>
      <c r="AN11" s="16">
        <v>725.25439045078895</v>
      </c>
      <c r="AO11" s="16">
        <v>742.03590314406983</v>
      </c>
      <c r="AP11" s="16">
        <v>776.13338022102164</v>
      </c>
      <c r="AQ11" s="16">
        <v>815.58312100990122</v>
      </c>
      <c r="AR11" s="16">
        <v>776.98967309756563</v>
      </c>
      <c r="AS11" s="16">
        <v>722.8097325669836</v>
      </c>
      <c r="AT11" s="16">
        <v>774.24768190595887</v>
      </c>
      <c r="AU11" s="16">
        <v>823.84916479272829</v>
      </c>
      <c r="AV11" s="16">
        <v>727.32873448956468</v>
      </c>
      <c r="AW11" s="16">
        <v>728.21487738457881</v>
      </c>
      <c r="AX11" s="40">
        <f t="shared" si="7"/>
        <v>726.19308374666628</v>
      </c>
      <c r="AY11" s="40">
        <f t="shared" si="8"/>
        <v>725.18218692771006</v>
      </c>
      <c r="AZ11" s="40">
        <f t="shared" si="9"/>
        <v>724.6767385182319</v>
      </c>
      <c r="BA11" s="16">
        <v>724.17129010875374</v>
      </c>
      <c r="BB11" s="16">
        <v>806.28113631000053</v>
      </c>
      <c r="BC11" s="16">
        <v>765.57174878600711</v>
      </c>
      <c r="BD11" s="16">
        <v>746.53172150684316</v>
      </c>
      <c r="BE11" s="16">
        <v>768.23409917173058</v>
      </c>
      <c r="BF11" s="16">
        <v>755.06692170000019</v>
      </c>
      <c r="BG11" s="16">
        <v>793.2772299999998</v>
      </c>
      <c r="BH11" s="16">
        <v>792.0906843764219</v>
      </c>
      <c r="BI11" s="16">
        <v>808.02704940000001</v>
      </c>
      <c r="BJ11" s="16">
        <v>807.98036220000029</v>
      </c>
      <c r="BK11" s="16">
        <v>782.67780360000017</v>
      </c>
      <c r="BL11" s="16">
        <v>867.66399999999999</v>
      </c>
      <c r="BM11" s="16">
        <v>814.05899999999997</v>
      </c>
      <c r="BN11" s="16">
        <v>829.97529437422361</v>
      </c>
      <c r="BO11" s="16">
        <v>878.22699999999998</v>
      </c>
      <c r="BP11" s="16">
        <v>856.54100000000005</v>
      </c>
      <c r="BQ11" s="16">
        <v>480.79199999999997</v>
      </c>
      <c r="BR11" s="16">
        <v>639.36099999999999</v>
      </c>
      <c r="BS11" s="16">
        <v>711.29499999999996</v>
      </c>
      <c r="BT11" s="16">
        <v>778.76300000000003</v>
      </c>
      <c r="BU11" s="16">
        <v>760.14099999999996</v>
      </c>
      <c r="BV11" s="16">
        <v>822.803</v>
      </c>
      <c r="BW11" s="16">
        <v>862.00400000000002</v>
      </c>
      <c r="BX11" s="16">
        <v>938.255</v>
      </c>
      <c r="BY11" s="16">
        <v>1131.6469999999999</v>
      </c>
      <c r="BZ11" s="16">
        <v>920.79600000000005</v>
      </c>
      <c r="CA11" s="16">
        <v>932.16200000000003</v>
      </c>
      <c r="CB11" s="16">
        <v>1006.277</v>
      </c>
      <c r="CC11" s="16">
        <v>981.125</v>
      </c>
      <c r="CD11" s="16">
        <v>959.34</v>
      </c>
      <c r="CE11" s="16">
        <v>969.18600000000004</v>
      </c>
      <c r="CF11" s="16">
        <v>912.53399999999999</v>
      </c>
      <c r="CG11" s="16">
        <v>943.48199999999997</v>
      </c>
      <c r="CH11" s="16">
        <v>950.04899999999998</v>
      </c>
      <c r="CI11" s="16">
        <v>1013.309</v>
      </c>
      <c r="CJ11" s="16">
        <v>978.71299999999997</v>
      </c>
    </row>
    <row r="12" spans="1:88" ht="20.149999999999999" customHeight="1" x14ac:dyDescent="0.25">
      <c r="A12" s="10" t="s">
        <v>7</v>
      </c>
      <c r="B12" s="16">
        <v>704.98451246818502</v>
      </c>
      <c r="C12" s="16">
        <v>707.25253484113011</v>
      </c>
      <c r="D12" s="16">
        <v>677.2662298348173</v>
      </c>
      <c r="E12" s="16">
        <v>735.04564208956447</v>
      </c>
      <c r="F12" s="16">
        <v>732.78801201244698</v>
      </c>
      <c r="G12" s="16">
        <v>770.51893482505795</v>
      </c>
      <c r="H12" s="16">
        <v>806.14140964759747</v>
      </c>
      <c r="I12" s="16">
        <v>784.64782077200118</v>
      </c>
      <c r="J12" s="16">
        <v>793.67885318893741</v>
      </c>
      <c r="K12" s="16">
        <v>838.34149610751922</v>
      </c>
      <c r="L12" s="16">
        <v>850.40199788320285</v>
      </c>
      <c r="M12" s="16">
        <v>777.58896058388245</v>
      </c>
      <c r="N12" s="16">
        <v>774.78992982155148</v>
      </c>
      <c r="O12" s="16">
        <v>796.75157602798345</v>
      </c>
      <c r="P12" s="16">
        <v>846.77462655746535</v>
      </c>
      <c r="Q12" s="16">
        <v>811.91566670974908</v>
      </c>
      <c r="R12" s="40">
        <f t="shared" si="6"/>
        <v>809.02021049361883</v>
      </c>
      <c r="S12" s="17">
        <v>806.12475427748859</v>
      </c>
      <c r="T12" s="16">
        <v>820.42630143802364</v>
      </c>
      <c r="U12" s="16">
        <v>745.40228085294143</v>
      </c>
      <c r="V12" s="16">
        <v>772.77516124661156</v>
      </c>
      <c r="W12" s="16">
        <v>852.55683043175736</v>
      </c>
      <c r="X12" s="16">
        <v>804.8382330282476</v>
      </c>
      <c r="Y12" s="16">
        <v>757.05175596790457</v>
      </c>
      <c r="Z12" s="16">
        <v>816.2996077430937</v>
      </c>
      <c r="AA12" s="16">
        <v>773.73335130896828</v>
      </c>
      <c r="AB12" s="16">
        <v>775.0839957472956</v>
      </c>
      <c r="AC12" s="16">
        <v>796.76905888455758</v>
      </c>
      <c r="AD12" s="16">
        <v>806.77193035248536</v>
      </c>
      <c r="AE12" s="16">
        <v>777.33677037389396</v>
      </c>
      <c r="AF12" s="16">
        <v>740.0157497452285</v>
      </c>
      <c r="AG12" s="16">
        <v>773.75983540038521</v>
      </c>
      <c r="AH12" s="16">
        <v>804.1110308946171</v>
      </c>
      <c r="AI12" s="16">
        <v>786.5676440703179</v>
      </c>
      <c r="AJ12" s="16">
        <v>759.26187127745845</v>
      </c>
      <c r="AK12" s="16">
        <v>792.23790907001137</v>
      </c>
      <c r="AL12" s="16">
        <v>784.85649218824585</v>
      </c>
      <c r="AM12" s="16">
        <v>793.83071173031772</v>
      </c>
      <c r="AN12" s="16">
        <v>764.11481101042</v>
      </c>
      <c r="AO12" s="16">
        <v>826.39237572514003</v>
      </c>
      <c r="AP12" s="16">
        <v>801.51252102279477</v>
      </c>
      <c r="AQ12" s="16">
        <v>742.84682114950203</v>
      </c>
      <c r="AR12" s="16">
        <v>741.267810062801</v>
      </c>
      <c r="AS12" s="16">
        <v>784.37380410544438</v>
      </c>
      <c r="AT12" s="16">
        <v>750.81995207643763</v>
      </c>
      <c r="AU12" s="16">
        <v>744.47535893677718</v>
      </c>
      <c r="AV12" s="16">
        <v>761.58524918529986</v>
      </c>
      <c r="AW12" s="16">
        <v>831.01423502383273</v>
      </c>
      <c r="AX12" s="40">
        <f t="shared" si="7"/>
        <v>825.0803809810086</v>
      </c>
      <c r="AY12" s="40">
        <f t="shared" si="8"/>
        <v>822.11345395959643</v>
      </c>
      <c r="AZ12" s="40">
        <f t="shared" si="9"/>
        <v>820.62999044889034</v>
      </c>
      <c r="BA12" s="16">
        <v>819.14652693818437</v>
      </c>
      <c r="BB12" s="16">
        <v>809.84119810759034</v>
      </c>
      <c r="BC12" s="16">
        <v>843.93789476245513</v>
      </c>
      <c r="BD12" s="16">
        <v>782.92932247804094</v>
      </c>
      <c r="BE12" s="16">
        <v>804.21391102400423</v>
      </c>
      <c r="BF12" s="16">
        <v>816.17797170000017</v>
      </c>
      <c r="BG12" s="16">
        <v>790.95422999999994</v>
      </c>
      <c r="BH12" s="16">
        <v>784.45596566621282</v>
      </c>
      <c r="BI12" s="16">
        <v>839.34707810000009</v>
      </c>
      <c r="BJ12" s="16">
        <v>809.44255260000023</v>
      </c>
      <c r="BK12" s="16">
        <v>847.84625640000024</v>
      </c>
      <c r="BL12" s="16">
        <v>852.03</v>
      </c>
      <c r="BM12" s="16">
        <v>839.75</v>
      </c>
      <c r="BN12" s="16">
        <v>838.03759205418044</v>
      </c>
      <c r="BO12" s="16">
        <v>875.83600000000001</v>
      </c>
      <c r="BP12" s="16">
        <v>862.42399999999998</v>
      </c>
      <c r="BQ12" s="16">
        <v>522.84299999999996</v>
      </c>
      <c r="BR12" s="16">
        <v>571.904</v>
      </c>
      <c r="BS12" s="16">
        <v>828.553</v>
      </c>
      <c r="BT12" s="16">
        <v>736.11</v>
      </c>
      <c r="BU12" s="16">
        <v>783.39099999999996</v>
      </c>
      <c r="BV12" s="16">
        <v>793.25599999999997</v>
      </c>
      <c r="BW12" s="16">
        <v>899.61400000000003</v>
      </c>
      <c r="BX12" s="16">
        <v>954.48199999999997</v>
      </c>
      <c r="BY12" s="16">
        <v>972.90300000000002</v>
      </c>
      <c r="BZ12" s="16">
        <v>1007.123</v>
      </c>
      <c r="CA12" s="16">
        <v>959.08100000000002</v>
      </c>
      <c r="CB12" s="16">
        <v>999.75599999999997</v>
      </c>
      <c r="CC12" s="16">
        <v>1081.3499999999999</v>
      </c>
      <c r="CD12" s="16">
        <v>1055.3710000000001</v>
      </c>
      <c r="CE12" s="16">
        <v>966.63099999999997</v>
      </c>
      <c r="CF12" s="16">
        <v>1038.7940000000001</v>
      </c>
      <c r="CG12" s="16">
        <v>980.37199999999996</v>
      </c>
      <c r="CH12" s="16">
        <v>1097.2059999999999</v>
      </c>
      <c r="CI12" s="16">
        <v>1019.651</v>
      </c>
      <c r="CJ12" s="16">
        <v>1060.5889999999999</v>
      </c>
    </row>
    <row r="13" spans="1:88" ht="20.149999999999999" customHeight="1" x14ac:dyDescent="0.25">
      <c r="A13" s="10" t="s">
        <v>8</v>
      </c>
      <c r="B13" s="16">
        <v>329.82693049326269</v>
      </c>
      <c r="C13" s="16">
        <v>326.68611626925787</v>
      </c>
      <c r="D13" s="16">
        <v>325.06231901200454</v>
      </c>
      <c r="E13" s="16">
        <v>359.2137388652344</v>
      </c>
      <c r="F13" s="16">
        <v>365.34444143846167</v>
      </c>
      <c r="G13" s="16">
        <v>379.33367208414705</v>
      </c>
      <c r="H13" s="16">
        <v>357.72237777599918</v>
      </c>
      <c r="I13" s="16">
        <v>327.04856109445291</v>
      </c>
      <c r="J13" s="16">
        <v>354.55068752034305</v>
      </c>
      <c r="K13" s="16">
        <v>361.34287356566728</v>
      </c>
      <c r="L13" s="16">
        <v>312.76837238638723</v>
      </c>
      <c r="M13" s="16">
        <v>368.26064729399991</v>
      </c>
      <c r="N13" s="16">
        <v>341.92943767000526</v>
      </c>
      <c r="O13" s="16">
        <v>335.23420471403637</v>
      </c>
      <c r="P13" s="16">
        <v>346.32615747931652</v>
      </c>
      <c r="Q13" s="16">
        <v>350.65311000168606</v>
      </c>
      <c r="R13" s="40">
        <f t="shared" si="6"/>
        <v>356.54511393236714</v>
      </c>
      <c r="S13" s="17">
        <v>362.43711786304817</v>
      </c>
      <c r="T13" s="16">
        <v>329.02298858101733</v>
      </c>
      <c r="U13" s="16">
        <v>359.44821513145536</v>
      </c>
      <c r="V13" s="16">
        <v>315.16892484818641</v>
      </c>
      <c r="W13" s="16">
        <v>314.74686268375473</v>
      </c>
      <c r="X13" s="16">
        <v>340.45902211820118</v>
      </c>
      <c r="Y13" s="16">
        <v>346.23898255281966</v>
      </c>
      <c r="Z13" s="16">
        <v>344.6450854806393</v>
      </c>
      <c r="AA13" s="16">
        <v>330.65696113222424</v>
      </c>
      <c r="AB13" s="16">
        <v>329.30342400097567</v>
      </c>
      <c r="AC13" s="16">
        <v>355.86982715129602</v>
      </c>
      <c r="AD13" s="16">
        <v>344.21791819972299</v>
      </c>
      <c r="AE13" s="16">
        <v>342.99989855236004</v>
      </c>
      <c r="AF13" s="16">
        <v>349.45762462693915</v>
      </c>
      <c r="AG13" s="16">
        <v>352.89728814029974</v>
      </c>
      <c r="AH13" s="16">
        <v>350.98103050172222</v>
      </c>
      <c r="AI13" s="16">
        <v>307.33424790012208</v>
      </c>
      <c r="AJ13" s="16">
        <v>332.2744246471633</v>
      </c>
      <c r="AK13" s="16">
        <v>351.07530867297959</v>
      </c>
      <c r="AL13" s="16">
        <v>367.07445577726401</v>
      </c>
      <c r="AM13" s="16">
        <v>347.50704008295827</v>
      </c>
      <c r="AN13" s="16">
        <v>325.04852148876131</v>
      </c>
      <c r="AO13" s="16">
        <v>337.30406399649257</v>
      </c>
      <c r="AP13" s="16">
        <v>341.13835532784964</v>
      </c>
      <c r="AQ13" s="16">
        <v>320.15678970743534</v>
      </c>
      <c r="AR13" s="16">
        <v>306.83014126811833</v>
      </c>
      <c r="AS13" s="16">
        <v>313.94329957713552</v>
      </c>
      <c r="AT13" s="16">
        <v>308.86936989796681</v>
      </c>
      <c r="AU13" s="16">
        <v>295.93890971751358</v>
      </c>
      <c r="AV13" s="16">
        <v>300.72483036113044</v>
      </c>
      <c r="AW13" s="16">
        <v>339.68888464168515</v>
      </c>
      <c r="AX13" s="40">
        <f t="shared" si="7"/>
        <v>353.67295486423234</v>
      </c>
      <c r="AY13" s="40">
        <f t="shared" si="8"/>
        <v>360.66498997550593</v>
      </c>
      <c r="AZ13" s="40">
        <f t="shared" si="9"/>
        <v>364.16100753114267</v>
      </c>
      <c r="BA13" s="16">
        <v>367.65702508677947</v>
      </c>
      <c r="BB13" s="16">
        <v>372.56279461694771</v>
      </c>
      <c r="BC13" s="16">
        <v>367.78634145496545</v>
      </c>
      <c r="BD13" s="16">
        <v>369.66070048266903</v>
      </c>
      <c r="BE13" s="16">
        <v>373.07252747678365</v>
      </c>
      <c r="BF13" s="16">
        <v>349.50167070000009</v>
      </c>
      <c r="BG13" s="16">
        <v>377.13096999999993</v>
      </c>
      <c r="BH13" s="16">
        <v>312.99476516853537</v>
      </c>
      <c r="BI13" s="16">
        <v>338.15087639999996</v>
      </c>
      <c r="BJ13" s="16">
        <v>391.01273640000016</v>
      </c>
      <c r="BK13" s="16">
        <v>376.38780300000013</v>
      </c>
      <c r="BL13" s="16">
        <v>350.685</v>
      </c>
      <c r="BM13" s="16">
        <v>385.83800000000002</v>
      </c>
      <c r="BN13" s="16">
        <v>386.02131125503996</v>
      </c>
      <c r="BO13" s="16">
        <v>376.15499999999997</v>
      </c>
      <c r="BP13" s="16">
        <v>392.18900000000002</v>
      </c>
      <c r="BQ13" s="16">
        <v>244.21799999999999</v>
      </c>
      <c r="BR13" s="16">
        <v>329.69600000000003</v>
      </c>
      <c r="BS13" s="16">
        <v>312.43099999999998</v>
      </c>
      <c r="BT13" s="16">
        <v>309.17599999999999</v>
      </c>
      <c r="BU13" s="16">
        <v>328.04</v>
      </c>
      <c r="BV13" s="16">
        <v>368.01400000000001</v>
      </c>
      <c r="BW13" s="16">
        <v>342.22300000000001</v>
      </c>
      <c r="BX13" s="16">
        <v>342.24400000000003</v>
      </c>
      <c r="BY13" s="16">
        <v>375.00200000000001</v>
      </c>
      <c r="BZ13" s="16">
        <v>398.37400000000002</v>
      </c>
      <c r="CA13" s="16">
        <v>395.21199999999999</v>
      </c>
      <c r="CB13" s="16">
        <v>432.44400000000002</v>
      </c>
      <c r="CC13" s="16">
        <v>388.97399999999999</v>
      </c>
      <c r="CD13" s="16">
        <v>358.03699999999998</v>
      </c>
      <c r="CE13" s="16">
        <v>388.27600000000001</v>
      </c>
      <c r="CF13" s="16">
        <v>423.54399999999998</v>
      </c>
      <c r="CG13" s="16">
        <v>437.05700000000002</v>
      </c>
      <c r="CH13" s="16">
        <v>377.03800000000001</v>
      </c>
      <c r="CI13" s="16">
        <v>397.60500000000002</v>
      </c>
      <c r="CJ13" s="16">
        <v>442.91300000000001</v>
      </c>
    </row>
    <row r="14" spans="1:88" ht="20.149999999999999" customHeight="1" x14ac:dyDescent="0.25">
      <c r="A14" s="10" t="s">
        <v>9</v>
      </c>
      <c r="B14" s="16">
        <v>150.85713006487586</v>
      </c>
      <c r="C14" s="16">
        <v>195.22129022016915</v>
      </c>
      <c r="D14" s="16">
        <v>191.25148418879832</v>
      </c>
      <c r="E14" s="16">
        <v>199.82779391962168</v>
      </c>
      <c r="F14" s="16">
        <v>190.09370402960084</v>
      </c>
      <c r="G14" s="16">
        <v>191.67633363015136</v>
      </c>
      <c r="H14" s="16">
        <v>194.30624649341914</v>
      </c>
      <c r="I14" s="16">
        <v>232.71965547186232</v>
      </c>
      <c r="J14" s="16">
        <v>237.97871904774544</v>
      </c>
      <c r="K14" s="16">
        <v>222.62545494009638</v>
      </c>
      <c r="L14" s="16">
        <v>224.94820956692791</v>
      </c>
      <c r="M14" s="16">
        <v>202.95232032265713</v>
      </c>
      <c r="N14" s="16">
        <v>227.7729950526174</v>
      </c>
      <c r="O14" s="16">
        <v>247.24890197612933</v>
      </c>
      <c r="P14" s="16">
        <v>222.97296332091435</v>
      </c>
      <c r="Q14" s="16">
        <v>236.55313173074933</v>
      </c>
      <c r="R14" s="40">
        <f t="shared" si="6"/>
        <v>221.0673837301585</v>
      </c>
      <c r="S14" s="17">
        <v>205.58163572956767</v>
      </c>
      <c r="T14" s="16">
        <v>200.34013946788045</v>
      </c>
      <c r="U14" s="16">
        <v>201.31488529051384</v>
      </c>
      <c r="V14" s="16">
        <v>192.93222056188452</v>
      </c>
      <c r="W14" s="16">
        <v>220.34410340437469</v>
      </c>
      <c r="X14" s="16">
        <v>197.48930526993561</v>
      </c>
      <c r="Y14" s="16">
        <v>218.31013954708331</v>
      </c>
      <c r="Z14" s="16">
        <v>205.58097190331159</v>
      </c>
      <c r="AA14" s="16">
        <v>218.1916257872781</v>
      </c>
      <c r="AB14" s="16">
        <v>191.37348076218231</v>
      </c>
      <c r="AC14" s="16">
        <v>234.61709234543957</v>
      </c>
      <c r="AD14" s="16">
        <v>224.81219570349509</v>
      </c>
      <c r="AE14" s="16">
        <v>187.71557876006716</v>
      </c>
      <c r="AF14" s="16">
        <v>221.27314870584814</v>
      </c>
      <c r="AG14" s="16">
        <v>218.88906529215328</v>
      </c>
      <c r="AH14" s="16">
        <v>222.79400723757288</v>
      </c>
      <c r="AI14" s="16">
        <v>238.33710420718589</v>
      </c>
      <c r="AJ14" s="16">
        <v>202.61350360949604</v>
      </c>
      <c r="AK14" s="16">
        <v>201.71721905229705</v>
      </c>
      <c r="AL14" s="16">
        <v>231.08033811878224</v>
      </c>
      <c r="AM14" s="16">
        <v>233.23995965076415</v>
      </c>
      <c r="AN14" s="16">
        <v>172.5278619537734</v>
      </c>
      <c r="AO14" s="16">
        <v>233.63708603453298</v>
      </c>
      <c r="AP14" s="16">
        <v>241.61652382528587</v>
      </c>
      <c r="AQ14" s="16">
        <v>215.1274051140538</v>
      </c>
      <c r="AR14" s="16">
        <v>222.5606952335682</v>
      </c>
      <c r="AS14" s="16">
        <v>196.26278127976261</v>
      </c>
      <c r="AT14" s="16">
        <v>194.38981920324528</v>
      </c>
      <c r="AU14" s="16">
        <v>205.93323416102103</v>
      </c>
      <c r="AV14" s="16">
        <v>197.80381086559447</v>
      </c>
      <c r="AW14" s="16">
        <v>181.78724404860787</v>
      </c>
      <c r="AX14" s="40">
        <f t="shared" si="7"/>
        <v>200.55636003699064</v>
      </c>
      <c r="AY14" s="40">
        <f t="shared" si="8"/>
        <v>209.94091803118204</v>
      </c>
      <c r="AZ14" s="40">
        <f t="shared" si="9"/>
        <v>214.63319702827772</v>
      </c>
      <c r="BA14" s="16">
        <v>219.3254760253734</v>
      </c>
      <c r="BB14" s="16">
        <v>235.86977941091536</v>
      </c>
      <c r="BC14" s="16">
        <v>243.52343618924795</v>
      </c>
      <c r="BD14" s="16">
        <v>217.59446359855511</v>
      </c>
      <c r="BE14" s="16">
        <v>206.86147301042288</v>
      </c>
      <c r="BF14" s="16">
        <v>286.44718830000011</v>
      </c>
      <c r="BG14" s="16">
        <v>269.94673999999998</v>
      </c>
      <c r="BH14" s="16">
        <v>285.60518705259977</v>
      </c>
      <c r="BI14" s="16">
        <v>265.94807589999999</v>
      </c>
      <c r="BJ14" s="16">
        <v>260.21940120000005</v>
      </c>
      <c r="BK14" s="16">
        <v>304.92728640000007</v>
      </c>
      <c r="BL14" s="16">
        <v>321.334</v>
      </c>
      <c r="BM14" s="16">
        <v>319.84100000000001</v>
      </c>
      <c r="BN14" s="16">
        <v>280.84414318251214</v>
      </c>
      <c r="BO14" s="16">
        <v>278.74200000000002</v>
      </c>
      <c r="BP14" s="16">
        <v>282.06299999999999</v>
      </c>
      <c r="BQ14" s="16">
        <v>101.99</v>
      </c>
      <c r="BR14" s="16">
        <v>133.029</v>
      </c>
      <c r="BS14" s="16">
        <v>163.928</v>
      </c>
      <c r="BT14" s="16">
        <v>207.96799999999999</v>
      </c>
      <c r="BU14" s="16">
        <v>146.239</v>
      </c>
      <c r="BV14" s="16">
        <v>247.61500000000001</v>
      </c>
      <c r="BW14" s="16">
        <v>214.61600000000001</v>
      </c>
      <c r="BX14" s="16">
        <v>227.37100000000001</v>
      </c>
      <c r="BY14" s="16">
        <v>215.8</v>
      </c>
      <c r="BZ14" s="16">
        <v>225.65</v>
      </c>
      <c r="CA14" s="16">
        <v>235.12799999999999</v>
      </c>
      <c r="CB14" s="16">
        <v>223.70099999999999</v>
      </c>
      <c r="CC14" s="16">
        <v>244.08099999999999</v>
      </c>
      <c r="CD14" s="16">
        <v>280.13400000000001</v>
      </c>
      <c r="CE14" s="16">
        <v>224.57</v>
      </c>
      <c r="CF14" s="16">
        <v>246.36500000000001</v>
      </c>
      <c r="CG14" s="16">
        <v>281.76900000000001</v>
      </c>
      <c r="CH14" s="16">
        <v>257.81200000000001</v>
      </c>
      <c r="CI14" s="16">
        <v>244.37899999999999</v>
      </c>
      <c r="CJ14" s="16">
        <v>241.15</v>
      </c>
    </row>
    <row r="15" spans="1:88" ht="20.149999999999999" customHeight="1" thickBot="1" x14ac:dyDescent="0.3">
      <c r="A15" s="7" t="s">
        <v>10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18"/>
      <c r="Z15" s="18"/>
      <c r="AA15" s="18"/>
      <c r="AB15" s="18"/>
      <c r="AC15" s="18"/>
      <c r="AD15" s="18"/>
      <c r="AE15" s="18"/>
      <c r="AF15" s="18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7"/>
      <c r="AY15" s="7"/>
      <c r="AZ15" s="28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</row>
    <row r="16" spans="1:88" ht="20.149999999999999" customHeight="1" x14ac:dyDescent="0.25">
      <c r="A16" s="10" t="s">
        <v>11</v>
      </c>
      <c r="B16" s="16">
        <v>1060.8448189239539</v>
      </c>
      <c r="C16" s="16">
        <v>1132.4873729488847</v>
      </c>
      <c r="D16" s="16">
        <v>1078.996781167511</v>
      </c>
      <c r="E16" s="16">
        <v>1166.584739549734</v>
      </c>
      <c r="F16" s="16">
        <v>1107.687779121806</v>
      </c>
      <c r="G16" s="16">
        <v>1188.5884447283074</v>
      </c>
      <c r="H16" s="16">
        <v>1205.1331860850637</v>
      </c>
      <c r="I16" s="16">
        <v>1148.9195107113394</v>
      </c>
      <c r="J16" s="16">
        <v>1204.0868783169226</v>
      </c>
      <c r="K16" s="16">
        <v>1239.8516823099326</v>
      </c>
      <c r="L16" s="16">
        <v>1135.6278025579697</v>
      </c>
      <c r="M16" s="16">
        <v>1171.0283157125698</v>
      </c>
      <c r="N16" s="16">
        <v>1218.8344391922662</v>
      </c>
      <c r="O16" s="16">
        <v>1240.9541189031161</v>
      </c>
      <c r="P16" s="16">
        <v>1199.5313319215486</v>
      </c>
      <c r="Q16" s="16">
        <v>1191.3750289356988</v>
      </c>
      <c r="R16" s="40">
        <f t="shared" ref="R16:R19" si="10">+(Q16+S16)/2</f>
        <v>1165.9981887941381</v>
      </c>
      <c r="S16" s="17">
        <v>1140.6213486525776</v>
      </c>
      <c r="T16" s="16">
        <v>1108.12206367456</v>
      </c>
      <c r="U16" s="16">
        <v>1112.2159967058058</v>
      </c>
      <c r="V16" s="16">
        <v>1078.7431350135396</v>
      </c>
      <c r="W16" s="16">
        <v>1113.5127090032809</v>
      </c>
      <c r="X16" s="16">
        <v>1070.9705969037545</v>
      </c>
      <c r="Y16" s="16">
        <v>1095.3781079593221</v>
      </c>
      <c r="Z16" s="16">
        <v>1123.3717011210751</v>
      </c>
      <c r="AA16" s="16">
        <v>1085.3963256047141</v>
      </c>
      <c r="AB16" s="16">
        <v>1059.4257188090658</v>
      </c>
      <c r="AC16" s="16">
        <v>1139.0528360416654</v>
      </c>
      <c r="AD16" s="16">
        <v>1111.1876001903224</v>
      </c>
      <c r="AE16" s="16">
        <v>1062.7924512451357</v>
      </c>
      <c r="AF16" s="16">
        <v>1059.5921499001954</v>
      </c>
      <c r="AG16" s="16">
        <v>1095.1097095367559</v>
      </c>
      <c r="AH16" s="16">
        <v>1135.7835902221289</v>
      </c>
      <c r="AI16" s="16">
        <v>1130.9117633511444</v>
      </c>
      <c r="AJ16" s="16">
        <v>1142.401477275811</v>
      </c>
      <c r="AK16" s="16">
        <v>1117.4402438581712</v>
      </c>
      <c r="AL16" s="16">
        <v>1127.5689452223576</v>
      </c>
      <c r="AM16" s="16">
        <v>1109.5306663769693</v>
      </c>
      <c r="AN16" s="16">
        <v>1046.6513759743543</v>
      </c>
      <c r="AO16" s="16">
        <v>1128.5670954054358</v>
      </c>
      <c r="AP16" s="16">
        <v>1122.9833586282987</v>
      </c>
      <c r="AQ16" s="16">
        <v>1086.6609778612174</v>
      </c>
      <c r="AR16" s="16">
        <v>1035.3146671811287</v>
      </c>
      <c r="AS16" s="16">
        <v>1054.4485446016536</v>
      </c>
      <c r="AT16" s="16">
        <v>1069.8927227472516</v>
      </c>
      <c r="AU16" s="16">
        <v>1074.0092134464364</v>
      </c>
      <c r="AV16" s="16">
        <v>1040.5146742697243</v>
      </c>
      <c r="AW16" s="16">
        <v>1079.9853112303783</v>
      </c>
      <c r="AX16" s="40">
        <f t="shared" ref="AX16:AX19" si="11">+(AW16+BA16)/2</f>
        <v>1078.8773943669346</v>
      </c>
      <c r="AY16" s="40">
        <f t="shared" ref="AY16:AY19" si="12">+(AX16+BA16)/2</f>
        <v>1078.3234359352127</v>
      </c>
      <c r="AZ16" s="40">
        <f t="shared" ref="AZ16:AZ19" si="13">+(AY16+BA16)/2</f>
        <v>1078.0464567193517</v>
      </c>
      <c r="BA16" s="16">
        <v>1077.7694775034909</v>
      </c>
      <c r="BB16" s="16">
        <v>1078.163399857023</v>
      </c>
      <c r="BC16" s="16">
        <v>1105.98215895825</v>
      </c>
      <c r="BD16" s="16">
        <v>1100.831920125941</v>
      </c>
      <c r="BE16" s="16">
        <v>1081.6378608128125</v>
      </c>
      <c r="BF16" s="16">
        <v>1113.1110081000004</v>
      </c>
      <c r="BG16" s="16">
        <v>1093.8451499999996</v>
      </c>
      <c r="BH16" s="16">
        <v>1109.6856793304191</v>
      </c>
      <c r="BI16" s="16">
        <v>1147.3140633</v>
      </c>
      <c r="BJ16" s="16">
        <v>1146.2754798000001</v>
      </c>
      <c r="BK16" s="16">
        <v>1209.4172640000004</v>
      </c>
      <c r="BL16" s="16">
        <v>1262.4280000000001</v>
      </c>
      <c r="BM16" s="16">
        <v>1208.1020000000001</v>
      </c>
      <c r="BN16" s="16">
        <v>1178.2419999570782</v>
      </c>
      <c r="BO16" s="16">
        <v>1204.376</v>
      </c>
      <c r="BP16" s="16">
        <v>1208.1759999999999</v>
      </c>
      <c r="BQ16" s="16">
        <v>684.01099999999997</v>
      </c>
      <c r="BR16" s="16">
        <v>881.76499999999999</v>
      </c>
      <c r="BS16" s="16">
        <v>1008.0359999999999</v>
      </c>
      <c r="BT16" s="16">
        <v>1042.2439999999999</v>
      </c>
      <c r="BU16" s="16">
        <v>965.51099999999997</v>
      </c>
      <c r="BV16" s="16">
        <v>1085.6289999999999</v>
      </c>
      <c r="BW16" s="16">
        <v>1164.425</v>
      </c>
      <c r="BX16" s="16">
        <v>1217.8030000000001</v>
      </c>
      <c r="BY16" s="16">
        <v>1330.6890000000001</v>
      </c>
      <c r="BZ16" s="16">
        <v>1286.261</v>
      </c>
      <c r="CA16" s="16">
        <v>1305.0740000000001</v>
      </c>
      <c r="CB16" s="16">
        <v>1370.69</v>
      </c>
      <c r="CC16" s="16">
        <v>1403.8130000000001</v>
      </c>
      <c r="CD16" s="16">
        <v>1372.1489999999999</v>
      </c>
      <c r="CE16" s="16">
        <v>1260.2639999999999</v>
      </c>
      <c r="CF16" s="16">
        <v>1313.2429999999999</v>
      </c>
      <c r="CG16" s="16">
        <v>1315.0150000000001</v>
      </c>
      <c r="CH16" s="16">
        <v>1403.4110000000001</v>
      </c>
      <c r="CI16" s="16">
        <v>1369.7449999999999</v>
      </c>
      <c r="CJ16" s="16">
        <v>1396.529</v>
      </c>
    </row>
    <row r="17" spans="1:88" ht="20.149999999999999" customHeight="1" x14ac:dyDescent="0.25">
      <c r="A17" s="10" t="s">
        <v>12</v>
      </c>
      <c r="B17" s="16">
        <v>526.04623190602365</v>
      </c>
      <c r="C17" s="16">
        <v>492.50410024054878</v>
      </c>
      <c r="D17" s="16">
        <v>528.61713701954682</v>
      </c>
      <c r="E17" s="16">
        <v>534.59496010029011</v>
      </c>
      <c r="F17" s="16">
        <v>573.02447784130823</v>
      </c>
      <c r="G17" s="16">
        <v>573.58408373330076</v>
      </c>
      <c r="H17" s="16">
        <v>570.35385881421462</v>
      </c>
      <c r="I17" s="16">
        <v>615.71836999174025</v>
      </c>
      <c r="J17" s="16">
        <v>588.72706788172309</v>
      </c>
      <c r="K17" s="16">
        <v>608.92481806190915</v>
      </c>
      <c r="L17" s="16">
        <v>582.48029554196262</v>
      </c>
      <c r="M17" s="16">
        <v>581.15279469555662</v>
      </c>
      <c r="N17" s="16">
        <v>596.14491928473956</v>
      </c>
      <c r="O17" s="16">
        <v>556.03068449297939</v>
      </c>
      <c r="P17" s="16">
        <v>563.04900127666986</v>
      </c>
      <c r="Q17" s="16">
        <v>576.32048184876282</v>
      </c>
      <c r="R17" s="40">
        <f t="shared" si="10"/>
        <v>575.35628076026683</v>
      </c>
      <c r="S17" s="17">
        <v>574.39207967177072</v>
      </c>
      <c r="T17" s="16">
        <v>572.70572203342044</v>
      </c>
      <c r="U17" s="16">
        <v>570.19415035988789</v>
      </c>
      <c r="V17" s="16">
        <v>565.3577214225312</v>
      </c>
      <c r="W17" s="16">
        <v>623.92119872725937</v>
      </c>
      <c r="X17" s="16">
        <v>568.16345086209435</v>
      </c>
      <c r="Y17" s="16">
        <v>569.60953721489614</v>
      </c>
      <c r="Z17" s="16">
        <v>584.83635574779271</v>
      </c>
      <c r="AA17" s="16">
        <v>564.74746896722309</v>
      </c>
      <c r="AB17" s="16">
        <v>523.6778243060686</v>
      </c>
      <c r="AC17" s="16">
        <v>634.58942234598226</v>
      </c>
      <c r="AD17" s="16">
        <v>581.07519479252915</v>
      </c>
      <c r="AE17" s="16">
        <v>527.31480680673144</v>
      </c>
      <c r="AF17" s="16">
        <v>572.2588137539633</v>
      </c>
      <c r="AG17" s="16">
        <v>624.00563096457347</v>
      </c>
      <c r="AH17" s="16">
        <v>600.16787501486533</v>
      </c>
      <c r="AI17" s="16">
        <v>589.62038127422659</v>
      </c>
      <c r="AJ17" s="16">
        <v>533.87414101135869</v>
      </c>
      <c r="AK17" s="16">
        <v>577.08625018202247</v>
      </c>
      <c r="AL17" s="16">
        <v>661.60556015296459</v>
      </c>
      <c r="AM17" s="16">
        <v>594.85411019386356</v>
      </c>
      <c r="AN17" s="16">
        <v>505.18340658899115</v>
      </c>
      <c r="AO17" s="16">
        <v>538.14715447293236</v>
      </c>
      <c r="AP17" s="16">
        <v>598.08808854441872</v>
      </c>
      <c r="AQ17" s="16">
        <v>545.23720816977641</v>
      </c>
      <c r="AR17" s="16">
        <v>573.00576116924947</v>
      </c>
      <c r="AS17" s="16">
        <v>511.00664223244706</v>
      </c>
      <c r="AT17" s="16">
        <v>555.52405484778444</v>
      </c>
      <c r="AU17" s="16">
        <v>525.39030857659418</v>
      </c>
      <c r="AV17" s="16">
        <v>511.41809501235571</v>
      </c>
      <c r="AW17" s="16">
        <v>568.06422535176398</v>
      </c>
      <c r="AX17" s="40">
        <f t="shared" si="11"/>
        <v>565.57074844678414</v>
      </c>
      <c r="AY17" s="40">
        <f t="shared" si="12"/>
        <v>564.32400999429433</v>
      </c>
      <c r="AZ17" s="40">
        <f t="shared" si="13"/>
        <v>563.70064076804942</v>
      </c>
      <c r="BA17" s="16">
        <v>563.07727154180441</v>
      </c>
      <c r="BB17" s="16">
        <v>587.94552141495694</v>
      </c>
      <c r="BC17" s="16">
        <v>588.88764413713432</v>
      </c>
      <c r="BD17" s="16">
        <v>526.36553981982081</v>
      </c>
      <c r="BE17" s="16">
        <v>559.83929523873348</v>
      </c>
      <c r="BF17" s="16">
        <v>560.19438930000024</v>
      </c>
      <c r="BG17" s="16">
        <v>619.14211999999998</v>
      </c>
      <c r="BH17" s="16">
        <v>543.04782278305788</v>
      </c>
      <c r="BI17" s="16">
        <v>583.14756690000013</v>
      </c>
      <c r="BJ17" s="16">
        <v>589.74642540000013</v>
      </c>
      <c r="BK17" s="16">
        <v>607.10589720000019</v>
      </c>
      <c r="BL17" s="16">
        <v>588.85</v>
      </c>
      <c r="BM17" s="16">
        <v>608.03300000000002</v>
      </c>
      <c r="BN17" s="16">
        <v>608.24283009135843</v>
      </c>
      <c r="BO17" s="16">
        <v>623.80399999999997</v>
      </c>
      <c r="BP17" s="16">
        <v>619.77300000000002</v>
      </c>
      <c r="BQ17" s="16">
        <v>363.25700000000001</v>
      </c>
      <c r="BR17" s="16">
        <v>380.65899999999999</v>
      </c>
      <c r="BS17" s="16">
        <v>562.45699999999999</v>
      </c>
      <c r="BT17" s="16">
        <v>523.41</v>
      </c>
      <c r="BU17" s="16">
        <v>550.23199999999997</v>
      </c>
      <c r="BV17" s="16">
        <v>544.69200000000001</v>
      </c>
      <c r="BW17" s="16">
        <v>594.23699999999997</v>
      </c>
      <c r="BX17" s="16">
        <v>612.02</v>
      </c>
      <c r="BY17" s="16">
        <v>683.18399999999997</v>
      </c>
      <c r="BZ17" s="16">
        <v>712.24099999999999</v>
      </c>
      <c r="CA17" s="16">
        <v>655.95600000000002</v>
      </c>
      <c r="CB17" s="16">
        <v>694.22299999999996</v>
      </c>
      <c r="CC17" s="16">
        <v>718.14200000000005</v>
      </c>
      <c r="CD17" s="16">
        <v>707.24300000000005</v>
      </c>
      <c r="CE17" s="16">
        <v>711.63300000000004</v>
      </c>
      <c r="CF17" s="16">
        <v>715.39599999999996</v>
      </c>
      <c r="CG17" s="16">
        <v>707.11699999999996</v>
      </c>
      <c r="CH17" s="16">
        <v>684.58799999999997</v>
      </c>
      <c r="CI17" s="16">
        <v>650.36</v>
      </c>
      <c r="CJ17" s="16">
        <v>698.50199999999995</v>
      </c>
    </row>
    <row r="18" spans="1:88" ht="20.149999999999999" customHeight="1" x14ac:dyDescent="0.25">
      <c r="A18" s="10" t="s">
        <v>13</v>
      </c>
      <c r="B18" s="16">
        <v>811.69857826918769</v>
      </c>
      <c r="C18" s="16">
        <v>807.26287541194836</v>
      </c>
      <c r="D18" s="16">
        <v>799.26098151304393</v>
      </c>
      <c r="E18" s="16">
        <v>822.87999610778138</v>
      </c>
      <c r="F18" s="16">
        <v>837.77714005921644</v>
      </c>
      <c r="G18" s="16">
        <v>895.34587983865129</v>
      </c>
      <c r="H18" s="16">
        <v>838.26098727329043</v>
      </c>
      <c r="I18" s="16">
        <v>862.82354374543456</v>
      </c>
      <c r="J18" s="16">
        <v>874.47548057127869</v>
      </c>
      <c r="K18" s="16">
        <v>847.63215985802299</v>
      </c>
      <c r="L18" s="16">
        <v>868.32161664088028</v>
      </c>
      <c r="M18" s="16">
        <v>903.48557583337015</v>
      </c>
      <c r="N18" s="16">
        <v>870.53551060915629</v>
      </c>
      <c r="O18" s="16">
        <v>929.86970328063626</v>
      </c>
      <c r="P18" s="16">
        <v>866.83157028317112</v>
      </c>
      <c r="Q18" s="16">
        <v>885.11556668286869</v>
      </c>
      <c r="R18" s="40">
        <f t="shared" si="10"/>
        <v>924.0397813671716</v>
      </c>
      <c r="S18" s="17">
        <v>962.96399605147462</v>
      </c>
      <c r="T18" s="16">
        <v>842.55064982517342</v>
      </c>
      <c r="U18" s="16">
        <v>794.88000402245541</v>
      </c>
      <c r="V18" s="16">
        <v>823.50393242520283</v>
      </c>
      <c r="W18" s="16">
        <v>937.94245077314667</v>
      </c>
      <c r="X18" s="16">
        <v>877.78217391028022</v>
      </c>
      <c r="Y18" s="16">
        <v>817.53726945575329</v>
      </c>
      <c r="Z18" s="16">
        <v>810.76265327113583</v>
      </c>
      <c r="AA18" s="16">
        <v>878.66393254390687</v>
      </c>
      <c r="AB18" s="16">
        <v>838.31984629242879</v>
      </c>
      <c r="AC18" s="16">
        <v>847.26980990932702</v>
      </c>
      <c r="AD18" s="16">
        <v>849.40777402333447</v>
      </c>
      <c r="AE18" s="16">
        <v>860.42286938782763</v>
      </c>
      <c r="AF18" s="16">
        <v>810.00163858678013</v>
      </c>
      <c r="AG18" s="16">
        <v>832.27791631445029</v>
      </c>
      <c r="AH18" s="16">
        <v>813.65728877223705</v>
      </c>
      <c r="AI18" s="16">
        <v>851.1086085200144</v>
      </c>
      <c r="AJ18" s="16">
        <v>794.47298487032765</v>
      </c>
      <c r="AK18" s="16">
        <v>829.26852578053763</v>
      </c>
      <c r="AL18" s="16">
        <v>900.37970322176534</v>
      </c>
      <c r="AM18" s="16">
        <v>878.4774888507593</v>
      </c>
      <c r="AN18" s="16">
        <v>797.87194216948205</v>
      </c>
      <c r="AO18" s="16">
        <v>898.21312566213601</v>
      </c>
      <c r="AP18" s="16">
        <v>889.75152226288844</v>
      </c>
      <c r="AQ18" s="16">
        <v>899.44822744936096</v>
      </c>
      <c r="AR18" s="16">
        <v>795.86754861564066</v>
      </c>
      <c r="AS18" s="16">
        <v>802.27371521205555</v>
      </c>
      <c r="AT18" s="16">
        <v>803.8024636926915</v>
      </c>
      <c r="AU18" s="16">
        <v>937.13453694920031</v>
      </c>
      <c r="AV18" s="16">
        <v>789.61622491351852</v>
      </c>
      <c r="AW18" s="16">
        <v>796.43455712767843</v>
      </c>
      <c r="AX18" s="40">
        <f t="shared" si="11"/>
        <v>826.4462312403441</v>
      </c>
      <c r="AY18" s="40">
        <f t="shared" si="12"/>
        <v>841.45206829667688</v>
      </c>
      <c r="AZ18" s="40">
        <f t="shared" si="13"/>
        <v>848.95498682484322</v>
      </c>
      <c r="BA18" s="16">
        <v>856.45790535300966</v>
      </c>
      <c r="BB18" s="16">
        <v>902.95330900009287</v>
      </c>
      <c r="BC18" s="16">
        <v>891.75039239478747</v>
      </c>
      <c r="BD18" s="16">
        <v>879.01567069608234</v>
      </c>
      <c r="BE18" s="16">
        <v>905.89997921961549</v>
      </c>
      <c r="BF18" s="16">
        <v>950.0465247000003</v>
      </c>
      <c r="BG18" s="16">
        <v>942.44311999999991</v>
      </c>
      <c r="BH18" s="16">
        <v>890.0989362557541</v>
      </c>
      <c r="BI18" s="16">
        <v>856.97892220000006</v>
      </c>
      <c r="BJ18" s="16">
        <v>912.24928080000029</v>
      </c>
      <c r="BK18" s="16">
        <v>903.56298120000031</v>
      </c>
      <c r="BL18" s="16">
        <v>884.69899999999996</v>
      </c>
      <c r="BM18" s="16">
        <v>876.10799999999995</v>
      </c>
      <c r="BN18" s="16">
        <v>919.51286309627949</v>
      </c>
      <c r="BO18" s="16">
        <v>959.98299999999995</v>
      </c>
      <c r="BP18" s="16">
        <v>930.55200000000002</v>
      </c>
      <c r="BQ18" s="16">
        <v>478.05399999999997</v>
      </c>
      <c r="BR18" s="16">
        <v>680.79700000000003</v>
      </c>
      <c r="BS18" s="16">
        <v>739.697</v>
      </c>
      <c r="BT18" s="16">
        <v>873.78499999999997</v>
      </c>
      <c r="BU18" s="16">
        <v>811.03</v>
      </c>
      <c r="BV18" s="16">
        <v>874.53700000000003</v>
      </c>
      <c r="BW18" s="16">
        <v>890.39099999999996</v>
      </c>
      <c r="BX18" s="16">
        <v>1039.5340000000001</v>
      </c>
      <c r="BY18" s="16">
        <v>1095.9749999999999</v>
      </c>
      <c r="BZ18" s="16">
        <v>968.89599999999996</v>
      </c>
      <c r="CA18" s="16">
        <v>962.62199999999996</v>
      </c>
      <c r="CB18" s="16">
        <v>1008.672</v>
      </c>
      <c r="CC18" s="16">
        <v>977.20399999999995</v>
      </c>
      <c r="CD18" s="16">
        <v>985.38499999999999</v>
      </c>
      <c r="CE18" s="16">
        <v>1044.3779999999999</v>
      </c>
      <c r="CF18" s="16">
        <v>944.91700000000003</v>
      </c>
      <c r="CG18" s="16">
        <v>1035.2819999999999</v>
      </c>
      <c r="CH18" s="16">
        <v>1016.554</v>
      </c>
      <c r="CI18" s="16">
        <v>1097.7460000000001</v>
      </c>
      <c r="CJ18" s="16">
        <v>1063.94</v>
      </c>
    </row>
    <row r="19" spans="1:88" ht="20.149999999999999" customHeight="1" x14ac:dyDescent="0.25">
      <c r="A19" s="10" t="s">
        <v>14</v>
      </c>
      <c r="B19" s="16">
        <v>196.5395839244072</v>
      </c>
      <c r="C19" s="16">
        <v>227.61845836823525</v>
      </c>
      <c r="D19" s="16">
        <v>217.28633542955347</v>
      </c>
      <c r="E19" s="16">
        <v>208.71337888703948</v>
      </c>
      <c r="F19" s="16">
        <v>233.23917977769898</v>
      </c>
      <c r="G19" s="16">
        <v>251.21836539324158</v>
      </c>
      <c r="H19" s="16">
        <v>218.15433676522375</v>
      </c>
      <c r="I19" s="16">
        <v>222.60003241175403</v>
      </c>
      <c r="J19" s="16">
        <v>253.82452553242084</v>
      </c>
      <c r="K19" s="16">
        <v>275.27562386902048</v>
      </c>
      <c r="L19" s="16">
        <v>263.28126154618764</v>
      </c>
      <c r="M19" s="16">
        <v>259.99097317442397</v>
      </c>
      <c r="N19" s="16">
        <v>250.62834609732229</v>
      </c>
      <c r="O19" s="16">
        <v>270.2884025134536</v>
      </c>
      <c r="P19" s="16">
        <v>261.49745936575039</v>
      </c>
      <c r="Q19" s="16">
        <v>283.69201622794378</v>
      </c>
      <c r="R19" s="40">
        <f t="shared" si="10"/>
        <v>263.75122159264419</v>
      </c>
      <c r="S19" s="17">
        <v>243.81042695734462</v>
      </c>
      <c r="T19" s="16">
        <v>249.70344111496669</v>
      </c>
      <c r="U19" s="16">
        <v>234.96993277544584</v>
      </c>
      <c r="V19" s="16">
        <v>246.77034176882029</v>
      </c>
      <c r="W19" s="16">
        <v>239.96412587659412</v>
      </c>
      <c r="X19" s="16">
        <v>243.78386361839156</v>
      </c>
      <c r="Y19" s="16">
        <v>250.47933905679395</v>
      </c>
      <c r="Z19" s="16">
        <v>242.09775247348028</v>
      </c>
      <c r="AA19" s="16">
        <v>265.54346460723696</v>
      </c>
      <c r="AB19" s="16">
        <v>271.10213180404082</v>
      </c>
      <c r="AC19" s="16">
        <v>247.14767684775791</v>
      </c>
      <c r="AD19" s="16">
        <v>288.10639102778362</v>
      </c>
      <c r="AE19" s="16">
        <v>260.73376855560326</v>
      </c>
      <c r="AF19" s="16">
        <v>260.36662490655806</v>
      </c>
      <c r="AG19" s="16">
        <v>253.76660961359889</v>
      </c>
      <c r="AH19" s="16">
        <v>264.23379541967523</v>
      </c>
      <c r="AI19" s="16">
        <v>239.35563003837706</v>
      </c>
      <c r="AJ19" s="16">
        <v>207.9600489193985</v>
      </c>
      <c r="AK19" s="16">
        <v>244.8302686245639</v>
      </c>
      <c r="AL19" s="16">
        <v>235.60247835122698</v>
      </c>
      <c r="AM19" s="16">
        <v>297.66980231301585</v>
      </c>
      <c r="AN19" s="16">
        <v>247.91497593952252</v>
      </c>
      <c r="AO19" s="16">
        <v>266.28963916121126</v>
      </c>
      <c r="AP19" s="16">
        <v>282.8874401944035</v>
      </c>
      <c r="AQ19" s="16">
        <v>255.42708184706461</v>
      </c>
      <c r="AR19" s="16">
        <v>261.79664792000631</v>
      </c>
      <c r="AS19" s="16">
        <v>283.695305376325</v>
      </c>
      <c r="AT19" s="16">
        <v>272.49093855705502</v>
      </c>
      <c r="AU19" s="16">
        <v>268.13733695519858</v>
      </c>
      <c r="AV19" s="16">
        <v>261.40642884133928</v>
      </c>
      <c r="AW19" s="16">
        <v>261.23795597473622</v>
      </c>
      <c r="AX19" s="40">
        <f t="shared" si="11"/>
        <v>261.29739594080479</v>
      </c>
      <c r="AY19" s="40">
        <f t="shared" si="12"/>
        <v>261.32711592383907</v>
      </c>
      <c r="AZ19" s="40">
        <f t="shared" si="13"/>
        <v>261.34197591535622</v>
      </c>
      <c r="BA19" s="16">
        <v>261.3568359068733</v>
      </c>
      <c r="BB19" s="16">
        <v>285.93833471487943</v>
      </c>
      <c r="BC19" s="16">
        <v>253.14058435307601</v>
      </c>
      <c r="BD19" s="16">
        <v>230.66652080590558</v>
      </c>
      <c r="BE19" s="16">
        <v>271.0021177801849</v>
      </c>
      <c r="BF19" s="16">
        <v>299.89464960000009</v>
      </c>
      <c r="BG19" s="16">
        <v>291.7556699999999</v>
      </c>
      <c r="BH19" s="16">
        <v>274.58264851544669</v>
      </c>
      <c r="BI19" s="16">
        <v>286.35613510000002</v>
      </c>
      <c r="BJ19" s="16">
        <v>287.96466600000002</v>
      </c>
      <c r="BK19" s="16">
        <v>294.04568160000008</v>
      </c>
      <c r="BL19" s="16">
        <v>269.411</v>
      </c>
      <c r="BM19" s="16">
        <v>276.06</v>
      </c>
      <c r="BN19" s="16">
        <v>262.12512356288966</v>
      </c>
      <c r="BO19" s="16">
        <v>280.94600000000003</v>
      </c>
      <c r="BP19" s="16">
        <v>294.29199999999997</v>
      </c>
      <c r="BQ19" s="16">
        <v>125.467</v>
      </c>
      <c r="BR19" s="16">
        <v>147.256</v>
      </c>
      <c r="BS19" s="16">
        <v>245.50299999999999</v>
      </c>
      <c r="BT19" s="16">
        <v>219.488</v>
      </c>
      <c r="BU19" s="16">
        <v>262.40100000000001</v>
      </c>
      <c r="BV19" s="16">
        <v>290.44200000000001</v>
      </c>
      <c r="BW19" s="16">
        <v>268.93900000000002</v>
      </c>
      <c r="BX19" s="16">
        <v>279.803</v>
      </c>
      <c r="BY19" s="16">
        <v>302.27800000000002</v>
      </c>
      <c r="BZ19" s="16">
        <v>309.79599999999999</v>
      </c>
      <c r="CA19" s="16">
        <v>296.18299999999999</v>
      </c>
      <c r="CB19" s="16">
        <v>315.50900000000001</v>
      </c>
      <c r="CC19" s="16">
        <v>290.32900000000001</v>
      </c>
      <c r="CD19" s="16">
        <v>324.18400000000003</v>
      </c>
      <c r="CE19" s="16">
        <v>266.51799999999997</v>
      </c>
      <c r="CF19" s="16">
        <v>285.88200000000001</v>
      </c>
      <c r="CG19" s="16">
        <v>297.65100000000001</v>
      </c>
      <c r="CH19" s="16">
        <v>283.13299999999998</v>
      </c>
      <c r="CI19" s="16">
        <v>328.339</v>
      </c>
      <c r="CJ19" s="16">
        <v>264.72500000000002</v>
      </c>
    </row>
    <row r="20" spans="1:88" ht="20.149999999999999" customHeight="1" thickBot="1" x14ac:dyDescent="0.3">
      <c r="A20" s="7" t="s">
        <v>54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18"/>
      <c r="Z20" s="18"/>
      <c r="AA20" s="18"/>
      <c r="AB20" s="18"/>
      <c r="AC20" s="18"/>
      <c r="AD20" s="18"/>
      <c r="AE20" s="18"/>
      <c r="AF20" s="18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7"/>
      <c r="AY20" s="7"/>
      <c r="AZ20" s="28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</row>
    <row r="21" spans="1:88" ht="20.149999999999999" customHeight="1" x14ac:dyDescent="0.25">
      <c r="A21" s="10" t="s">
        <v>15</v>
      </c>
      <c r="B21" s="16">
        <v>283.1419415337848</v>
      </c>
      <c r="C21" s="16">
        <v>233.1445644857447</v>
      </c>
      <c r="D21" s="16">
        <v>246.95166194100707</v>
      </c>
      <c r="E21" s="16">
        <v>263.26043134994148</v>
      </c>
      <c r="F21" s="16">
        <v>251.26657430393414</v>
      </c>
      <c r="G21" s="16">
        <v>285.82689034265366</v>
      </c>
      <c r="H21" s="16">
        <v>292.49023456257487</v>
      </c>
      <c r="I21" s="16">
        <v>236.11193622302949</v>
      </c>
      <c r="J21" s="16">
        <v>276.18424161811942</v>
      </c>
      <c r="K21" s="16">
        <v>303.75940932514766</v>
      </c>
      <c r="L21" s="16">
        <v>255.5376347857831</v>
      </c>
      <c r="M21" s="16">
        <v>268.31483496795681</v>
      </c>
      <c r="N21" s="16">
        <v>276.73517059862144</v>
      </c>
      <c r="O21" s="16">
        <v>299.65026698048985</v>
      </c>
      <c r="P21" s="16">
        <v>283.14582178298883</v>
      </c>
      <c r="Q21" s="16">
        <v>265.76949862969997</v>
      </c>
      <c r="R21" s="40">
        <f t="shared" ref="R21:R26" si="14">+(Q21+S21)/2</f>
        <v>278.76276345246174</v>
      </c>
      <c r="S21" s="17">
        <v>291.75602827522346</v>
      </c>
      <c r="T21" s="16">
        <v>282.85948938661807</v>
      </c>
      <c r="U21" s="16">
        <v>223.13313746195598</v>
      </c>
      <c r="V21" s="16">
        <v>235.38227103060655</v>
      </c>
      <c r="W21" s="16">
        <v>272.04691870060918</v>
      </c>
      <c r="X21" s="16">
        <v>260.82957152327862</v>
      </c>
      <c r="Y21" s="16">
        <v>233.33751403375388</v>
      </c>
      <c r="Z21" s="16">
        <v>245.777161180771</v>
      </c>
      <c r="AA21" s="16">
        <v>212.38192843329861</v>
      </c>
      <c r="AB21" s="16">
        <v>209.59962382674948</v>
      </c>
      <c r="AC21" s="16">
        <v>243.62332211424589</v>
      </c>
      <c r="AD21" s="16">
        <v>213.88275988169735</v>
      </c>
      <c r="AE21" s="16">
        <v>212.12629184821296</v>
      </c>
      <c r="AF21" s="16">
        <v>206.2322364288203</v>
      </c>
      <c r="AG21" s="19">
        <v>212.88394592834308</v>
      </c>
      <c r="AH21" s="19">
        <v>204.37300999941621</v>
      </c>
      <c r="AI21" s="19">
        <v>216.66794140223831</v>
      </c>
      <c r="AJ21" s="19">
        <v>212.44703425255514</v>
      </c>
      <c r="AK21" s="19">
        <v>236.71487105801955</v>
      </c>
      <c r="AL21" s="19">
        <v>227.272490491235</v>
      </c>
      <c r="AM21" s="19">
        <v>190.16055751502722</v>
      </c>
      <c r="AN21" s="19">
        <v>156.72136837531073</v>
      </c>
      <c r="AO21" s="19">
        <v>172.96241266362335</v>
      </c>
      <c r="AP21" s="19">
        <v>182.02443038739716</v>
      </c>
      <c r="AQ21" s="19">
        <v>186.75464915311346</v>
      </c>
      <c r="AR21" s="19">
        <v>191.5188963927514</v>
      </c>
      <c r="AS21" s="19">
        <v>166.5368051974265</v>
      </c>
      <c r="AT21" s="19">
        <v>188.06631670070189</v>
      </c>
      <c r="AU21" s="19">
        <v>181.09147132193655</v>
      </c>
      <c r="AV21" s="19">
        <v>168.76266469904382</v>
      </c>
      <c r="AW21" s="19">
        <v>171.78740788314602</v>
      </c>
      <c r="AX21" s="40">
        <f t="shared" ref="AX21:AX26" si="15">+(AW21+BA21)/2</f>
        <v>169.47091129495738</v>
      </c>
      <c r="AY21" s="40">
        <f t="shared" ref="AY21:AY26" si="16">+(AX21+BA21)/2</f>
        <v>168.31266300086307</v>
      </c>
      <c r="AZ21" s="40">
        <f t="shared" ref="AZ21:AZ26" si="17">+(AY21+BA21)/2</f>
        <v>167.7335388538159</v>
      </c>
      <c r="BA21" s="19">
        <v>167.15441470676876</v>
      </c>
      <c r="BB21" s="19">
        <v>168.45427148208415</v>
      </c>
      <c r="BC21" s="19">
        <v>184.60815706629623</v>
      </c>
      <c r="BD21" s="19">
        <v>183.57534776739919</v>
      </c>
      <c r="BE21" s="19">
        <v>151.71098954459615</v>
      </c>
      <c r="BF21" s="19">
        <v>187.07153010000005</v>
      </c>
      <c r="BG21" s="19">
        <v>166.73282</v>
      </c>
      <c r="BH21" s="19">
        <v>158.67031814665609</v>
      </c>
      <c r="BI21" s="19">
        <v>139.618675</v>
      </c>
      <c r="BJ21" s="19">
        <v>171.59228460000006</v>
      </c>
      <c r="BK21" s="19">
        <v>164.82965400000003</v>
      </c>
      <c r="BL21" s="19">
        <v>189.91200000000001</v>
      </c>
      <c r="BM21" s="19">
        <v>176.84</v>
      </c>
      <c r="BN21" s="19">
        <v>168.03285382329992</v>
      </c>
      <c r="BO21" s="19">
        <v>151.607</v>
      </c>
      <c r="BP21" s="19">
        <v>179.285</v>
      </c>
      <c r="BQ21" s="19">
        <v>77.667000000000002</v>
      </c>
      <c r="BR21" s="19">
        <v>134.13800000000001</v>
      </c>
      <c r="BS21" s="19">
        <v>119.846</v>
      </c>
      <c r="BT21" s="19">
        <v>86.185000000000002</v>
      </c>
      <c r="BU21" s="19">
        <v>128.251</v>
      </c>
      <c r="BV21" s="19">
        <v>135.29499999999999</v>
      </c>
      <c r="BW21" s="19">
        <v>132.08799999999999</v>
      </c>
      <c r="BX21" s="19">
        <v>185.82300000000001</v>
      </c>
      <c r="BY21" s="19">
        <v>162.542</v>
      </c>
      <c r="BZ21" s="19">
        <v>163.404</v>
      </c>
      <c r="CA21" s="19">
        <v>147.006</v>
      </c>
      <c r="CB21" s="19">
        <v>156.66499999999999</v>
      </c>
      <c r="CC21" s="19">
        <v>147.81299999999999</v>
      </c>
      <c r="CD21" s="19">
        <v>139.251</v>
      </c>
      <c r="CE21" s="19">
        <v>127.919</v>
      </c>
      <c r="CF21" s="19">
        <v>141.124</v>
      </c>
      <c r="CG21" s="19">
        <v>143.68199999999999</v>
      </c>
      <c r="CH21" s="19">
        <v>131.09299999999999</v>
      </c>
      <c r="CI21" s="19">
        <v>135.922</v>
      </c>
      <c r="CJ21" s="19">
        <v>118.34699999999999</v>
      </c>
    </row>
    <row r="22" spans="1:88" ht="20.149999999999999" customHeight="1" x14ac:dyDescent="0.25">
      <c r="A22" s="10" t="s">
        <v>16</v>
      </c>
      <c r="B22" s="16">
        <v>699.40651291614984</v>
      </c>
      <c r="C22" s="16">
        <v>730.91376749874553</v>
      </c>
      <c r="D22" s="16">
        <v>748.53706742691998</v>
      </c>
      <c r="E22" s="16">
        <v>735.47687229163159</v>
      </c>
      <c r="F22" s="16">
        <v>804.29317161143899</v>
      </c>
      <c r="G22" s="16">
        <v>829.04829834010093</v>
      </c>
      <c r="H22" s="16">
        <v>841.53887124694756</v>
      </c>
      <c r="I22" s="16">
        <v>829.59860603889786</v>
      </c>
      <c r="J22" s="16">
        <v>816.33735369240185</v>
      </c>
      <c r="K22" s="16">
        <v>845.75271166494747</v>
      </c>
      <c r="L22" s="16">
        <v>825.0296120397611</v>
      </c>
      <c r="M22" s="16">
        <v>825.7787679961092</v>
      </c>
      <c r="N22" s="16">
        <v>796.36127238059862</v>
      </c>
      <c r="O22" s="16">
        <v>827.68769999618485</v>
      </c>
      <c r="P22" s="16">
        <v>796.70271539546991</v>
      </c>
      <c r="Q22" s="16">
        <v>784.32051856184569</v>
      </c>
      <c r="R22" s="40">
        <f t="shared" si="14"/>
        <v>775.45761140352704</v>
      </c>
      <c r="S22" s="17">
        <v>766.59470424520839</v>
      </c>
      <c r="T22" s="16">
        <v>728.68745721433788</v>
      </c>
      <c r="U22" s="16">
        <v>758.86592466439049</v>
      </c>
      <c r="V22" s="16">
        <v>758.0937011225875</v>
      </c>
      <c r="W22" s="16">
        <v>740.54884113951698</v>
      </c>
      <c r="X22" s="16">
        <v>771.47788574936817</v>
      </c>
      <c r="Y22" s="16">
        <v>722.90872962014691</v>
      </c>
      <c r="Z22" s="16">
        <v>707.51899547952689</v>
      </c>
      <c r="AA22" s="16">
        <v>738.82314004460784</v>
      </c>
      <c r="AB22" s="16">
        <v>712.66221357374161</v>
      </c>
      <c r="AC22" s="16">
        <v>723.7711427196075</v>
      </c>
      <c r="AD22" s="16">
        <v>730.03681956770743</v>
      </c>
      <c r="AE22" s="16">
        <v>713.77944656681052</v>
      </c>
      <c r="AF22" s="16">
        <v>741.17022368701464</v>
      </c>
      <c r="AG22" s="19">
        <v>726.29700672140564</v>
      </c>
      <c r="AH22" s="19">
        <v>690.17192348681021</v>
      </c>
      <c r="AI22" s="19">
        <v>676.30733103629382</v>
      </c>
      <c r="AJ22" s="19">
        <v>716.52241061553036</v>
      </c>
      <c r="AK22" s="19">
        <v>687.81080861339126</v>
      </c>
      <c r="AL22" s="19">
        <v>723.3132469021042</v>
      </c>
      <c r="AM22" s="19">
        <v>713.12137674195185</v>
      </c>
      <c r="AN22" s="19">
        <v>629.52315185082011</v>
      </c>
      <c r="AO22" s="19">
        <v>692.67662428634196</v>
      </c>
      <c r="AP22" s="19">
        <v>721.7067333244155</v>
      </c>
      <c r="AQ22" s="19">
        <v>670.43322817581725</v>
      </c>
      <c r="AR22" s="19">
        <v>603.74646779724321</v>
      </c>
      <c r="AS22" s="19">
        <v>613.39533610725641</v>
      </c>
      <c r="AT22" s="19">
        <v>625.71904205068881</v>
      </c>
      <c r="AU22" s="19">
        <v>651.37060007204093</v>
      </c>
      <c r="AV22" s="19">
        <v>637.49177956916924</v>
      </c>
      <c r="AW22" s="19">
        <v>677.62263875222516</v>
      </c>
      <c r="AX22" s="40">
        <f t="shared" si="15"/>
        <v>675.86104152681992</v>
      </c>
      <c r="AY22" s="40">
        <f t="shared" si="16"/>
        <v>674.9802429141173</v>
      </c>
      <c r="AZ22" s="40">
        <f t="shared" si="17"/>
        <v>674.53984360776599</v>
      </c>
      <c r="BA22" s="19">
        <v>674.09944430141468</v>
      </c>
      <c r="BB22" s="19">
        <v>638.86411989969861</v>
      </c>
      <c r="BC22" s="19">
        <v>618.92314243811825</v>
      </c>
      <c r="BD22" s="19">
        <v>539.53775441928701</v>
      </c>
      <c r="BE22" s="19">
        <v>576.24694488062175</v>
      </c>
      <c r="BF22" s="19">
        <v>569.62872330000016</v>
      </c>
      <c r="BG22" s="19">
        <v>582.5134599999999</v>
      </c>
      <c r="BH22" s="19">
        <v>530.38333475922661</v>
      </c>
      <c r="BI22" s="19">
        <v>555.87622729999998</v>
      </c>
      <c r="BJ22" s="19">
        <v>575.89903800000013</v>
      </c>
      <c r="BK22" s="19">
        <v>559.67054220000023</v>
      </c>
      <c r="BL22" s="19">
        <v>574.17200000000003</v>
      </c>
      <c r="BM22" s="19">
        <v>553.36800000000005</v>
      </c>
      <c r="BN22" s="19">
        <v>541.01710707560107</v>
      </c>
      <c r="BO22" s="19">
        <v>541.85</v>
      </c>
      <c r="BP22" s="19">
        <v>567.62</v>
      </c>
      <c r="BQ22" s="19">
        <v>261.33300000000003</v>
      </c>
      <c r="BR22" s="19">
        <v>315.09800000000001</v>
      </c>
      <c r="BS22" s="19">
        <v>441.87200000000001</v>
      </c>
      <c r="BT22" s="19">
        <v>383.00599999999997</v>
      </c>
      <c r="BU22" s="19">
        <v>398.86599999999999</v>
      </c>
      <c r="BV22" s="19">
        <v>399.06599999999997</v>
      </c>
      <c r="BW22" s="19">
        <v>462.14499999999998</v>
      </c>
      <c r="BX22" s="19">
        <v>467.15300000000002</v>
      </c>
      <c r="BY22" s="19">
        <v>499.404</v>
      </c>
      <c r="BZ22" s="19">
        <v>453.64100000000002</v>
      </c>
      <c r="CA22" s="19">
        <v>475.50299999999999</v>
      </c>
      <c r="CB22" s="19">
        <v>483.62</v>
      </c>
      <c r="CC22" s="19">
        <v>518.13800000000003</v>
      </c>
      <c r="CD22" s="19">
        <v>503.28199999999998</v>
      </c>
      <c r="CE22" s="19">
        <v>432.57100000000003</v>
      </c>
      <c r="CF22" s="19">
        <v>430.07100000000003</v>
      </c>
      <c r="CG22" s="19">
        <v>492.13200000000001</v>
      </c>
      <c r="CH22" s="19">
        <v>478.71300000000002</v>
      </c>
      <c r="CI22" s="19">
        <v>470.26600000000002</v>
      </c>
      <c r="CJ22" s="19">
        <v>490.09</v>
      </c>
    </row>
    <row r="23" spans="1:88" ht="20.149999999999999" customHeight="1" x14ac:dyDescent="0.25">
      <c r="A23" s="10" t="s">
        <v>17</v>
      </c>
      <c r="B23" s="16">
        <v>590.38844657105074</v>
      </c>
      <c r="C23" s="16">
        <v>589.01494890253855</v>
      </c>
      <c r="D23" s="16">
        <v>603.03831978210405</v>
      </c>
      <c r="E23" s="16">
        <v>571.13025083713251</v>
      </c>
      <c r="F23" s="16">
        <v>582.45116038425033</v>
      </c>
      <c r="G23" s="16">
        <v>601.98375674009355</v>
      </c>
      <c r="H23" s="16">
        <v>614.44764282337678</v>
      </c>
      <c r="I23" s="16">
        <v>574.85262642459247</v>
      </c>
      <c r="J23" s="16">
        <v>625.38239047635886</v>
      </c>
      <c r="K23" s="16">
        <v>661.3105935154714</v>
      </c>
      <c r="L23" s="16">
        <v>579.98238446292191</v>
      </c>
      <c r="M23" s="16">
        <v>624.31526848205135</v>
      </c>
      <c r="N23" s="16">
        <v>649.66178634876508</v>
      </c>
      <c r="O23" s="16">
        <v>638.92547629565126</v>
      </c>
      <c r="P23" s="16">
        <v>632.52304312314186</v>
      </c>
      <c r="Q23" s="16">
        <v>663.88249646654572</v>
      </c>
      <c r="R23" s="40">
        <f t="shared" si="14"/>
        <v>674.19312177825873</v>
      </c>
      <c r="S23" s="17">
        <v>684.50374708997163</v>
      </c>
      <c r="T23" s="16">
        <v>600.7298966571434</v>
      </c>
      <c r="U23" s="16">
        <v>593.67784044434688</v>
      </c>
      <c r="V23" s="16">
        <v>594.44102386227485</v>
      </c>
      <c r="W23" s="16">
        <v>670.35926043469863</v>
      </c>
      <c r="X23" s="16">
        <v>622.83169667305503</v>
      </c>
      <c r="Y23" s="16">
        <v>603.21758210164489</v>
      </c>
      <c r="Z23" s="16">
        <v>610.2476225888073</v>
      </c>
      <c r="AA23" s="16">
        <v>673.54234055806603</v>
      </c>
      <c r="AB23" s="16">
        <v>610.6217563728153</v>
      </c>
      <c r="AC23" s="16">
        <v>648.26956422510489</v>
      </c>
      <c r="AD23" s="16">
        <v>665.17090429037785</v>
      </c>
      <c r="AE23" s="16">
        <v>631.64639518707384</v>
      </c>
      <c r="AF23" s="16">
        <v>618.68135723936268</v>
      </c>
      <c r="AG23" s="19">
        <v>671.57730756635794</v>
      </c>
      <c r="AH23" s="19">
        <v>684.96328445307688</v>
      </c>
      <c r="AI23" s="19">
        <v>668.58342432857501</v>
      </c>
      <c r="AJ23" s="19">
        <v>606.32188632411771</v>
      </c>
      <c r="AK23" s="19">
        <v>629.80341185921986</v>
      </c>
      <c r="AL23" s="19">
        <v>672.55838934777455</v>
      </c>
      <c r="AM23" s="19">
        <v>698.39094080322184</v>
      </c>
      <c r="AN23" s="19">
        <v>603.5049277556933</v>
      </c>
      <c r="AO23" s="19">
        <v>671.88974900090409</v>
      </c>
      <c r="AP23" s="19">
        <v>710.04808404515029</v>
      </c>
      <c r="AQ23" s="19">
        <v>688.91405095630262</v>
      </c>
      <c r="AR23" s="19">
        <v>734.4740381197729</v>
      </c>
      <c r="AS23" s="19">
        <v>687.82850690422902</v>
      </c>
      <c r="AT23" s="19">
        <v>670.65610199664366</v>
      </c>
      <c r="AU23" s="19">
        <v>685.54668560740697</v>
      </c>
      <c r="AV23" s="19">
        <v>603.85420743594739</v>
      </c>
      <c r="AW23" s="19">
        <v>691.9391743804174</v>
      </c>
      <c r="AX23" s="40">
        <f t="shared" si="15"/>
        <v>658.5074395226768</v>
      </c>
      <c r="AY23" s="40">
        <f t="shared" si="16"/>
        <v>641.79157209380651</v>
      </c>
      <c r="AZ23" s="40">
        <f t="shared" si="17"/>
        <v>633.43363837937136</v>
      </c>
      <c r="BA23" s="19">
        <v>625.07570466493632</v>
      </c>
      <c r="BB23" s="19">
        <v>702.41597918066236</v>
      </c>
      <c r="BC23" s="19">
        <v>702.50114919997225</v>
      </c>
      <c r="BD23" s="19">
        <v>662.64737638282327</v>
      </c>
      <c r="BE23" s="19">
        <v>675.18310511903746</v>
      </c>
      <c r="BF23" s="19">
        <v>718.89423060000036</v>
      </c>
      <c r="BG23" s="19">
        <v>709.78860999999972</v>
      </c>
      <c r="BH23" s="19">
        <v>663.4010376284765</v>
      </c>
      <c r="BI23" s="19">
        <v>684.67180399999995</v>
      </c>
      <c r="BJ23" s="19">
        <v>722.83301640000025</v>
      </c>
      <c r="BK23" s="19">
        <v>714.67989120000027</v>
      </c>
      <c r="BL23" s="19">
        <v>701.947</v>
      </c>
      <c r="BM23" s="19">
        <v>697.58</v>
      </c>
      <c r="BN23" s="19">
        <v>683.18790381805343</v>
      </c>
      <c r="BO23" s="19">
        <v>749.67499999999995</v>
      </c>
      <c r="BP23" s="19">
        <v>689.51099999999997</v>
      </c>
      <c r="BQ23" s="19">
        <v>397.666</v>
      </c>
      <c r="BR23" s="19">
        <v>500.036</v>
      </c>
      <c r="BS23" s="19">
        <v>595.17999999999995</v>
      </c>
      <c r="BT23" s="19">
        <v>624.87599999999998</v>
      </c>
      <c r="BU23" s="19">
        <v>614.04100000000005</v>
      </c>
      <c r="BV23" s="19">
        <v>657.79499999999996</v>
      </c>
      <c r="BW23" s="19">
        <v>716.13099999999997</v>
      </c>
      <c r="BX23" s="19">
        <v>764.12800000000004</v>
      </c>
      <c r="BY23" s="19">
        <v>802.37</v>
      </c>
      <c r="BZ23" s="19">
        <v>794.98</v>
      </c>
      <c r="CA23" s="19">
        <v>813.70600000000002</v>
      </c>
      <c r="CB23" s="19">
        <v>824.17</v>
      </c>
      <c r="CC23" s="19">
        <v>841.37800000000004</v>
      </c>
      <c r="CD23" s="19">
        <v>800.11599999999999</v>
      </c>
      <c r="CE23" s="19">
        <v>800.09799999999996</v>
      </c>
      <c r="CF23" s="19">
        <v>722.76700000000005</v>
      </c>
      <c r="CG23" s="19">
        <v>823.25</v>
      </c>
      <c r="CH23" s="19">
        <v>742.22299999999996</v>
      </c>
      <c r="CI23" s="19">
        <v>802.26800000000003</v>
      </c>
      <c r="CJ23" s="19">
        <v>819.35500000000002</v>
      </c>
    </row>
    <row r="24" spans="1:88" ht="20.149999999999999" customHeight="1" x14ac:dyDescent="0.25">
      <c r="A24" s="10" t="s">
        <v>18</v>
      </c>
      <c r="B24" s="16">
        <v>465.90226006825748</v>
      </c>
      <c r="C24" s="16">
        <v>533.8408888424633</v>
      </c>
      <c r="D24" s="16">
        <v>471.57727422068359</v>
      </c>
      <c r="E24" s="16">
        <v>545.43688255651864</v>
      </c>
      <c r="F24" s="16">
        <v>535.80883770562298</v>
      </c>
      <c r="G24" s="16">
        <v>577.95460048092764</v>
      </c>
      <c r="H24" s="16">
        <v>509.05681428746675</v>
      </c>
      <c r="I24" s="16">
        <v>582.94505520448524</v>
      </c>
      <c r="J24" s="16">
        <v>586.43093009587722</v>
      </c>
      <c r="K24" s="16">
        <v>553.93097518665786</v>
      </c>
      <c r="L24" s="16">
        <v>603.14362228682739</v>
      </c>
      <c r="M24" s="16">
        <v>576.80424851837347</v>
      </c>
      <c r="N24" s="16">
        <v>549.13201016420624</v>
      </c>
      <c r="O24" s="16">
        <v>610.76811282403685</v>
      </c>
      <c r="P24" s="16">
        <v>566.28353442614821</v>
      </c>
      <c r="Q24" s="16">
        <v>631.96646111644407</v>
      </c>
      <c r="R24" s="40">
        <f t="shared" si="14"/>
        <v>611.02285651875627</v>
      </c>
      <c r="S24" s="17">
        <v>590.07925192106836</v>
      </c>
      <c r="T24" s="16">
        <v>578.534441548823</v>
      </c>
      <c r="U24" s="16">
        <v>598.48120710810861</v>
      </c>
      <c r="V24" s="16">
        <v>581.58572222448583</v>
      </c>
      <c r="W24" s="16">
        <v>619.76728164868234</v>
      </c>
      <c r="X24" s="16">
        <v>566.41519923598537</v>
      </c>
      <c r="Y24" s="16">
        <v>619.90187059898369</v>
      </c>
      <c r="Z24" s="16">
        <v>643.72830475767034</v>
      </c>
      <c r="AA24" s="16">
        <v>618.04060320238432</v>
      </c>
      <c r="AB24" s="16">
        <v>591.83485604852785</v>
      </c>
      <c r="AC24" s="16">
        <v>637.32013248483224</v>
      </c>
      <c r="AD24" s="16">
        <v>654.48995769993269</v>
      </c>
      <c r="AE24" s="16">
        <v>641.20041620744053</v>
      </c>
      <c r="AF24" s="16">
        <v>606.26564501613018</v>
      </c>
      <c r="AG24" s="19">
        <v>634.80930073657191</v>
      </c>
      <c r="AH24" s="19">
        <v>638.61925154207552</v>
      </c>
      <c r="AI24" s="19">
        <v>663.73281091612796</v>
      </c>
      <c r="AJ24" s="19">
        <v>605.93837451631111</v>
      </c>
      <c r="AK24" s="19">
        <v>653.8491866976168</v>
      </c>
      <c r="AL24" s="19">
        <v>719.26079259834751</v>
      </c>
      <c r="AM24" s="19">
        <v>708.23043177381692</v>
      </c>
      <c r="AN24" s="19">
        <v>635.28173946636196</v>
      </c>
      <c r="AO24" s="19">
        <v>717.51990331651427</v>
      </c>
      <c r="AP24" s="19">
        <v>692.55701271677299</v>
      </c>
      <c r="AQ24" s="19">
        <v>700.02046147382464</v>
      </c>
      <c r="AR24" s="19">
        <v>647.51395932432388</v>
      </c>
      <c r="AS24" s="19">
        <v>658.73877171485117</v>
      </c>
      <c r="AT24" s="19">
        <v>667.7895277127202</v>
      </c>
      <c r="AU24" s="19">
        <v>721.57941562068311</v>
      </c>
      <c r="AV24" s="19">
        <v>673.39044819494404</v>
      </c>
      <c r="AW24" s="19">
        <v>675.69119373849946</v>
      </c>
      <c r="AX24" s="40">
        <f t="shared" si="15"/>
        <v>687.36898372101768</v>
      </c>
      <c r="AY24" s="40">
        <f t="shared" si="16"/>
        <v>693.20787871227685</v>
      </c>
      <c r="AZ24" s="40">
        <f t="shared" si="17"/>
        <v>696.12732620790644</v>
      </c>
      <c r="BA24" s="19">
        <v>699.04677370353591</v>
      </c>
      <c r="BB24" s="19">
        <v>739.25421954952481</v>
      </c>
      <c r="BC24" s="19">
        <v>739.50232474094673</v>
      </c>
      <c r="BD24" s="19">
        <v>728.79475788488912</v>
      </c>
      <c r="BE24" s="19">
        <v>779.20952051226209</v>
      </c>
      <c r="BF24" s="19">
        <v>797.67495990000009</v>
      </c>
      <c r="BG24" s="19">
        <v>766.37385999999981</v>
      </c>
      <c r="BH24" s="19">
        <v>797.48269209397699</v>
      </c>
      <c r="BI24" s="19">
        <v>822.00507530000004</v>
      </c>
      <c r="BJ24" s="19">
        <v>807.31995300000028</v>
      </c>
      <c r="BK24" s="19">
        <v>800.2210590000002</v>
      </c>
      <c r="BL24" s="19">
        <v>801.69899999999996</v>
      </c>
      <c r="BM24" s="19">
        <v>838.70799999999997</v>
      </c>
      <c r="BN24" s="19">
        <v>841.48431055642197</v>
      </c>
      <c r="BO24" s="19">
        <v>846.65800000000002</v>
      </c>
      <c r="BP24" s="19">
        <v>804.54399999999998</v>
      </c>
      <c r="BQ24" s="19">
        <v>462.63600000000002</v>
      </c>
      <c r="BR24" s="19">
        <v>606.52800000000002</v>
      </c>
      <c r="BS24" s="19">
        <v>761.13099999999997</v>
      </c>
      <c r="BT24" s="19">
        <v>775.53499999999997</v>
      </c>
      <c r="BU24" s="19">
        <v>713.178</v>
      </c>
      <c r="BV24" s="19">
        <v>804.70100000000002</v>
      </c>
      <c r="BW24" s="19">
        <v>896.995</v>
      </c>
      <c r="BX24" s="19">
        <v>964.64499999999998</v>
      </c>
      <c r="BY24" s="19">
        <v>1055.9780000000001</v>
      </c>
      <c r="BZ24" s="19">
        <v>1048.616</v>
      </c>
      <c r="CA24" s="19">
        <v>1022.1079999999999</v>
      </c>
      <c r="CB24" s="19">
        <v>1108.6790000000001</v>
      </c>
      <c r="CC24" s="19">
        <v>1077.778</v>
      </c>
      <c r="CD24" s="19">
        <v>1052.8440000000001</v>
      </c>
      <c r="CE24" s="19">
        <v>1036.627</v>
      </c>
      <c r="CF24" s="19">
        <v>1113.567</v>
      </c>
      <c r="CG24" s="19">
        <v>999.83299999999997</v>
      </c>
      <c r="CH24" s="19">
        <v>1106.4179999999999</v>
      </c>
      <c r="CI24" s="19">
        <v>1087.1790000000001</v>
      </c>
      <c r="CJ24" s="19">
        <v>1053.347</v>
      </c>
    </row>
    <row r="25" spans="1:88" ht="20.149999999999999" customHeight="1" x14ac:dyDescent="0.25">
      <c r="A25" s="10" t="s">
        <v>19</v>
      </c>
      <c r="B25" s="16">
        <v>331.76591065106999</v>
      </c>
      <c r="C25" s="16">
        <v>332.54999142154753</v>
      </c>
      <c r="D25" s="16">
        <v>333.68431632061748</v>
      </c>
      <c r="E25" s="16">
        <v>366.10832481459721</v>
      </c>
      <c r="F25" s="16">
        <v>352.29635274585905</v>
      </c>
      <c r="G25" s="16">
        <v>375.53335602512777</v>
      </c>
      <c r="H25" s="16">
        <v>343.92905839403255</v>
      </c>
      <c r="I25" s="16">
        <v>361.35453284759666</v>
      </c>
      <c r="J25" s="16">
        <v>349.28614700867746</v>
      </c>
      <c r="K25" s="16">
        <v>366.75474156328579</v>
      </c>
      <c r="L25" s="16">
        <v>321.45217232045286</v>
      </c>
      <c r="M25" s="16">
        <v>368.50673337806592</v>
      </c>
      <c r="N25" s="16">
        <v>411.42968280470859</v>
      </c>
      <c r="O25" s="16">
        <v>353.40099727156337</v>
      </c>
      <c r="P25" s="16">
        <v>348.9150003698735</v>
      </c>
      <c r="Q25" s="16">
        <v>351.6242210461923</v>
      </c>
      <c r="R25" s="40">
        <f t="shared" si="14"/>
        <v>341.57898241799421</v>
      </c>
      <c r="S25" s="17">
        <v>331.53374378979606</v>
      </c>
      <c r="T25" s="16">
        <v>324.18569992079671</v>
      </c>
      <c r="U25" s="16">
        <v>330.6036428867431</v>
      </c>
      <c r="V25" s="16">
        <v>324.12889621828816</v>
      </c>
      <c r="W25" s="16">
        <v>350.46178516136371</v>
      </c>
      <c r="X25" s="16">
        <v>317.35501649907491</v>
      </c>
      <c r="Y25" s="16">
        <v>320.8839183379057</v>
      </c>
      <c r="Z25" s="16">
        <v>317.3069462492731</v>
      </c>
      <c r="AA25" s="16">
        <v>335.70971459917075</v>
      </c>
      <c r="AB25" s="16">
        <v>325.19222551213443</v>
      </c>
      <c r="AC25" s="16">
        <v>341.04830979840693</v>
      </c>
      <c r="AD25" s="16">
        <v>326.80322021645054</v>
      </c>
      <c r="AE25" s="16">
        <v>295.24514867556712</v>
      </c>
      <c r="AF25" s="16">
        <v>303.43832824531961</v>
      </c>
      <c r="AG25" s="19">
        <v>322.54104008404846</v>
      </c>
      <c r="AH25" s="19">
        <v>310.54080740171031</v>
      </c>
      <c r="AI25" s="19">
        <v>333.01881233885558</v>
      </c>
      <c r="AJ25" s="19">
        <v>305.42756991892037</v>
      </c>
      <c r="AK25" s="19">
        <v>333.73646546950948</v>
      </c>
      <c r="AL25" s="19">
        <v>338.46986328876358</v>
      </c>
      <c r="AM25" s="19">
        <v>320.95090607931814</v>
      </c>
      <c r="AN25" s="19">
        <v>300.88285429697044</v>
      </c>
      <c r="AO25" s="19">
        <v>320.71090518117734</v>
      </c>
      <c r="AP25" s="19">
        <v>322.4785281560321</v>
      </c>
      <c r="AQ25" s="19">
        <v>313.07556225006738</v>
      </c>
      <c r="AR25" s="19">
        <v>269.09055625681771</v>
      </c>
      <c r="AS25" s="19">
        <v>296.36802161905746</v>
      </c>
      <c r="AT25" s="19">
        <v>326.65415804270128</v>
      </c>
      <c r="AU25" s="19">
        <v>324.79655548561232</v>
      </c>
      <c r="AV25" s="19">
        <v>308.86537962336047</v>
      </c>
      <c r="AW25" s="19">
        <v>277.99684790140537</v>
      </c>
      <c r="AX25" s="40">
        <f t="shared" si="15"/>
        <v>320.90140428812231</v>
      </c>
      <c r="AY25" s="40">
        <f t="shared" si="16"/>
        <v>342.3536824814808</v>
      </c>
      <c r="AZ25" s="40">
        <f t="shared" si="17"/>
        <v>353.07982157816002</v>
      </c>
      <c r="BA25" s="19">
        <v>363.8059606748393</v>
      </c>
      <c r="BB25" s="19">
        <v>352.12330394391853</v>
      </c>
      <c r="BC25" s="19">
        <v>330.35910894493168</v>
      </c>
      <c r="BD25" s="19">
        <v>370.18374464149582</v>
      </c>
      <c r="BE25" s="19">
        <v>395.01630876543999</v>
      </c>
      <c r="BF25" s="19">
        <v>380.43194280000012</v>
      </c>
      <c r="BG25" s="19">
        <v>425.12818999999996</v>
      </c>
      <c r="BH25" s="19">
        <v>388.3076923468297</v>
      </c>
      <c r="BI25" s="19">
        <v>393.58226760000002</v>
      </c>
      <c r="BJ25" s="19">
        <v>369.53328060000007</v>
      </c>
      <c r="BK25" s="19">
        <v>440.80698420000016</v>
      </c>
      <c r="BL25" s="19">
        <v>418.24299999999999</v>
      </c>
      <c r="BM25" s="19">
        <v>402.69900000000001</v>
      </c>
      <c r="BN25" s="19">
        <v>396.00938806871903</v>
      </c>
      <c r="BO25" s="19">
        <v>424.18900000000002</v>
      </c>
      <c r="BP25" s="19">
        <v>475.54300000000001</v>
      </c>
      <c r="BQ25" s="19">
        <v>218.94200000000001</v>
      </c>
      <c r="BR25" s="19">
        <v>270.166</v>
      </c>
      <c r="BS25" s="19">
        <v>335.27300000000002</v>
      </c>
      <c r="BT25" s="19">
        <v>475.79899999999998</v>
      </c>
      <c r="BU25" s="19">
        <v>439.71800000000002</v>
      </c>
      <c r="BV25" s="19">
        <v>488.70600000000002</v>
      </c>
      <c r="BW25" s="19">
        <v>427.86</v>
      </c>
      <c r="BX25" s="19">
        <v>454.767</v>
      </c>
      <c r="BY25" s="19">
        <v>513.46799999999996</v>
      </c>
      <c r="BZ25" s="19">
        <v>471.14100000000002</v>
      </c>
      <c r="CA25" s="19">
        <v>426.178</v>
      </c>
      <c r="CB25" s="19">
        <v>478.63600000000002</v>
      </c>
      <c r="CC25" s="19">
        <v>457.36399999999998</v>
      </c>
      <c r="CD25" s="19">
        <v>502.60199999999998</v>
      </c>
      <c r="CE25" s="19">
        <v>517.14400000000001</v>
      </c>
      <c r="CF25" s="19">
        <v>488.54899999999998</v>
      </c>
      <c r="CG25" s="19">
        <v>518.51300000000003</v>
      </c>
      <c r="CH25" s="19">
        <v>501.53800000000001</v>
      </c>
      <c r="CI25" s="19">
        <v>537.67200000000003</v>
      </c>
      <c r="CJ25" s="19">
        <v>542.92999999999995</v>
      </c>
    </row>
    <row r="26" spans="1:88" ht="20.149999999999999" customHeight="1" x14ac:dyDescent="0.25">
      <c r="A26" s="10" t="s">
        <v>20</v>
      </c>
      <c r="B26" s="16">
        <v>224.5241412832597</v>
      </c>
      <c r="C26" s="16">
        <v>240.40864581857753</v>
      </c>
      <c r="D26" s="16">
        <v>220.37259543832317</v>
      </c>
      <c r="E26" s="16">
        <v>251.36031279502325</v>
      </c>
      <c r="F26" s="16">
        <v>225.61248004892425</v>
      </c>
      <c r="G26" s="16">
        <v>238.38987176459747</v>
      </c>
      <c r="H26" s="16">
        <v>230.43974762339366</v>
      </c>
      <c r="I26" s="16">
        <v>265.19870012166666</v>
      </c>
      <c r="J26" s="16">
        <v>267.49288941091072</v>
      </c>
      <c r="K26" s="16">
        <v>240.17585284337517</v>
      </c>
      <c r="L26" s="16">
        <v>264.56555039125408</v>
      </c>
      <c r="M26" s="16">
        <v>251.93780607336379</v>
      </c>
      <c r="N26" s="16">
        <v>252.8232928865842</v>
      </c>
      <c r="O26" s="16">
        <v>266.71035582225943</v>
      </c>
      <c r="P26" s="16">
        <v>263.33924774951788</v>
      </c>
      <c r="Q26" s="16">
        <v>238.93989787454618</v>
      </c>
      <c r="R26" s="40">
        <f t="shared" si="14"/>
        <v>248.13013694322296</v>
      </c>
      <c r="S26" s="17">
        <v>257.32037601189973</v>
      </c>
      <c r="T26" s="16">
        <v>258.08489192040156</v>
      </c>
      <c r="U26" s="16">
        <v>207.49833129804989</v>
      </c>
      <c r="V26" s="16">
        <v>220.74351617185087</v>
      </c>
      <c r="W26" s="16">
        <v>262.15639729541022</v>
      </c>
      <c r="X26" s="16">
        <v>221.79071561375855</v>
      </c>
      <c r="Y26" s="16">
        <v>232.75463899433052</v>
      </c>
      <c r="Z26" s="16">
        <v>236.48943235743533</v>
      </c>
      <c r="AA26" s="16">
        <v>215.85346488555359</v>
      </c>
      <c r="AB26" s="16">
        <v>242.61484587763533</v>
      </c>
      <c r="AC26" s="16">
        <v>274.02727380253509</v>
      </c>
      <c r="AD26" s="16">
        <v>239.39329837780414</v>
      </c>
      <c r="AE26" s="16">
        <v>217.26619751019319</v>
      </c>
      <c r="AF26" s="16">
        <v>226.43143653084954</v>
      </c>
      <c r="AG26" s="19">
        <v>237.05126539265112</v>
      </c>
      <c r="AH26" s="19">
        <v>285.17427254581742</v>
      </c>
      <c r="AI26" s="19">
        <v>252.68606316167163</v>
      </c>
      <c r="AJ26" s="19">
        <v>232.05137644946092</v>
      </c>
      <c r="AK26" s="19">
        <v>226.71054474753819</v>
      </c>
      <c r="AL26" s="19">
        <v>244.28190432008967</v>
      </c>
      <c r="AM26" s="19">
        <v>249.67785482127209</v>
      </c>
      <c r="AN26" s="19">
        <v>271.70765892719345</v>
      </c>
      <c r="AO26" s="19">
        <v>255.45742025315457</v>
      </c>
      <c r="AP26" s="19">
        <v>264.89562100024136</v>
      </c>
      <c r="AQ26" s="19">
        <v>227.575543318294</v>
      </c>
      <c r="AR26" s="19">
        <v>219.64070699511623</v>
      </c>
      <c r="AS26" s="19">
        <v>228.55676587966067</v>
      </c>
      <c r="AT26" s="19">
        <v>222.8250333413267</v>
      </c>
      <c r="AU26" s="19">
        <v>240.28666781974934</v>
      </c>
      <c r="AV26" s="19">
        <v>210.5909435144726</v>
      </c>
      <c r="AW26" s="19">
        <v>210.68478702886358</v>
      </c>
      <c r="AX26" s="40">
        <f t="shared" si="15"/>
        <v>220.08198964127354</v>
      </c>
      <c r="AY26" s="40">
        <f t="shared" si="16"/>
        <v>224.78059094747852</v>
      </c>
      <c r="AZ26" s="40">
        <f t="shared" si="17"/>
        <v>227.129891600581</v>
      </c>
      <c r="BA26" s="19">
        <v>229.47919225368346</v>
      </c>
      <c r="BB26" s="19">
        <v>253.88867093106379</v>
      </c>
      <c r="BC26" s="19">
        <v>263.86689745298264</v>
      </c>
      <c r="BD26" s="19">
        <v>252.14067035185556</v>
      </c>
      <c r="BE26" s="19">
        <v>241.01238422938906</v>
      </c>
      <c r="BF26" s="19">
        <v>269.54518500000012</v>
      </c>
      <c r="BG26" s="19">
        <v>296.64911999999998</v>
      </c>
      <c r="BH26" s="19">
        <v>279.17001190951191</v>
      </c>
      <c r="BI26" s="19">
        <v>278.04263830000002</v>
      </c>
      <c r="BJ26" s="19">
        <v>289.05827940000006</v>
      </c>
      <c r="BK26" s="19">
        <v>333.9236934000001</v>
      </c>
      <c r="BL26" s="19">
        <v>319.41500000000002</v>
      </c>
      <c r="BM26" s="19">
        <v>299.108</v>
      </c>
      <c r="BN26" s="19">
        <v>338.39125336551007</v>
      </c>
      <c r="BO26" s="19">
        <v>355.13</v>
      </c>
      <c r="BP26" s="19">
        <v>336.29</v>
      </c>
      <c r="BQ26" s="19">
        <v>232.54499999999999</v>
      </c>
      <c r="BR26" s="19">
        <v>264.51100000000002</v>
      </c>
      <c r="BS26" s="19">
        <v>302.39100000000002</v>
      </c>
      <c r="BT26" s="19">
        <v>313.52600000000001</v>
      </c>
      <c r="BU26" s="19">
        <v>295.12</v>
      </c>
      <c r="BV26" s="19">
        <v>309.73700000000002</v>
      </c>
      <c r="BW26" s="19">
        <v>282.77300000000002</v>
      </c>
      <c r="BX26" s="19">
        <v>312.64400000000001</v>
      </c>
      <c r="BY26" s="19">
        <v>378.36399999999998</v>
      </c>
      <c r="BZ26" s="19">
        <v>345.41199999999998</v>
      </c>
      <c r="CA26" s="19">
        <v>335.334</v>
      </c>
      <c r="CB26" s="19">
        <v>337.32400000000001</v>
      </c>
      <c r="CC26" s="19">
        <v>347.017</v>
      </c>
      <c r="CD26" s="19">
        <v>390.86599999999999</v>
      </c>
      <c r="CE26" s="19">
        <v>368.43400000000003</v>
      </c>
      <c r="CF26" s="19">
        <v>363.36</v>
      </c>
      <c r="CG26" s="19">
        <v>377.65499999999997</v>
      </c>
      <c r="CH26" s="19">
        <v>427.70100000000002</v>
      </c>
      <c r="CI26" s="19">
        <v>412.88299999999998</v>
      </c>
      <c r="CJ26" s="19">
        <v>399.62700000000001</v>
      </c>
    </row>
    <row r="27" spans="1:88" ht="20.149999999999999" customHeight="1" thickBot="1" x14ac:dyDescent="0.3">
      <c r="A27" s="7" t="s">
        <v>154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18"/>
      <c r="Z27" s="18"/>
      <c r="AA27" s="18"/>
      <c r="AB27" s="18"/>
      <c r="AC27" s="18"/>
      <c r="AD27" s="18"/>
      <c r="AE27" s="18"/>
      <c r="AF27" s="1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7"/>
      <c r="AY27" s="7"/>
      <c r="AZ27" s="28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</row>
    <row r="28" spans="1:88" ht="20.149999999999999" customHeight="1" x14ac:dyDescent="0.25">
      <c r="A28" s="10" t="s">
        <v>155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7"/>
      <c r="S28" s="37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7"/>
      <c r="AY28" s="37"/>
      <c r="AZ28" s="39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10">
        <v>1503.8330000000001</v>
      </c>
      <c r="CJ28" s="19">
        <v>1545.799</v>
      </c>
    </row>
    <row r="29" spans="1:88" ht="20.149999999999999" customHeight="1" x14ac:dyDescent="0.25">
      <c r="A29" s="10" t="s">
        <v>156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7"/>
      <c r="S29" s="37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7"/>
      <c r="AY29" s="37"/>
      <c r="AZ29" s="39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10">
        <v>776.13599999999997</v>
      </c>
      <c r="CJ29" s="19">
        <v>759.42</v>
      </c>
    </row>
    <row r="30" spans="1:88" ht="20.149999999999999" customHeight="1" x14ac:dyDescent="0.25">
      <c r="A30" s="10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7"/>
      <c r="S30" s="37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7"/>
      <c r="AY30" s="37"/>
      <c r="AZ30" s="39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10">
        <v>648.29200000000003</v>
      </c>
      <c r="CJ30" s="19">
        <v>613.35299999999995</v>
      </c>
    </row>
    <row r="31" spans="1:88" ht="20.149999999999999" customHeight="1" x14ac:dyDescent="0.25">
      <c r="A31" s="10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7"/>
      <c r="S31" s="37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7"/>
      <c r="AY31" s="37"/>
      <c r="AZ31" s="39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10">
        <v>517.92899999999997</v>
      </c>
      <c r="CJ31" s="19">
        <v>505.12400000000002</v>
      </c>
    </row>
    <row r="32" spans="1:88" ht="20.149999999999999" customHeight="1" thickBot="1" x14ac:dyDescent="0.3">
      <c r="A32" s="7" t="s">
        <v>21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18"/>
      <c r="Z32" s="18"/>
      <c r="AA32" s="18"/>
      <c r="AB32" s="18"/>
      <c r="AC32" s="18"/>
      <c r="AD32" s="18"/>
      <c r="AE32" s="18"/>
      <c r="AF32" s="18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7"/>
      <c r="AY32" s="7"/>
      <c r="AZ32" s="28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</row>
    <row r="33" spans="1:88" ht="20.149999999999999" customHeight="1" x14ac:dyDescent="0.25">
      <c r="A33" s="10" t="s">
        <v>22</v>
      </c>
      <c r="B33" s="16">
        <v>25.262664394798819</v>
      </c>
      <c r="C33" s="16">
        <v>40.68888618065435</v>
      </c>
      <c r="D33" s="16">
        <v>40.620837485233906</v>
      </c>
      <c r="E33" s="16">
        <v>37.832039713271307</v>
      </c>
      <c r="F33" s="16">
        <v>35.015434256768373</v>
      </c>
      <c r="G33" s="16">
        <v>31.652269407937819</v>
      </c>
      <c r="H33" s="16">
        <v>35.149726458305437</v>
      </c>
      <c r="I33" s="16">
        <v>34.288601640863689</v>
      </c>
      <c r="J33" s="16">
        <v>37.160800342500146</v>
      </c>
      <c r="K33" s="16">
        <v>43.22320931709055</v>
      </c>
      <c r="L33" s="16">
        <v>34.440243446486583</v>
      </c>
      <c r="M33" s="16">
        <v>29.901509931387533</v>
      </c>
      <c r="N33" s="16">
        <v>29.155080866856327</v>
      </c>
      <c r="O33" s="16">
        <v>33.129349077611302</v>
      </c>
      <c r="P33" s="16">
        <v>32.19429876545906</v>
      </c>
      <c r="Q33" s="16">
        <v>28.804226966610724</v>
      </c>
      <c r="R33" s="40">
        <f t="shared" ref="R33:R45" si="18">+(Q33+S33)/2</f>
        <v>26.870649485270462</v>
      </c>
      <c r="S33" s="17">
        <v>24.937072003930197</v>
      </c>
      <c r="T33" s="16">
        <v>35.961716326991429</v>
      </c>
      <c r="U33" s="16">
        <v>27.821952745683053</v>
      </c>
      <c r="V33" s="16">
        <v>36.250669460606851</v>
      </c>
      <c r="W33" s="16">
        <v>30.413480710494632</v>
      </c>
      <c r="X33" s="16">
        <v>27.095354701448535</v>
      </c>
      <c r="Y33" s="16">
        <v>36.00170479514955</v>
      </c>
      <c r="Z33" s="16">
        <v>19.986458381193469</v>
      </c>
      <c r="AA33" s="16">
        <v>33.680942552938852</v>
      </c>
      <c r="AB33" s="16">
        <v>34.540195800908165</v>
      </c>
      <c r="AC33" s="16">
        <v>30.362019435220706</v>
      </c>
      <c r="AD33" s="16">
        <v>28.657046170477269</v>
      </c>
      <c r="AE33" s="16">
        <v>25.065869356551975</v>
      </c>
      <c r="AF33" s="16">
        <v>46.831931408018534</v>
      </c>
      <c r="AG33" s="19">
        <v>29.765799418393744</v>
      </c>
      <c r="AH33" s="19">
        <v>23.574104878440441</v>
      </c>
      <c r="AI33" s="19">
        <v>24.580560706643592</v>
      </c>
      <c r="AJ33" s="19">
        <v>18.603921314879837</v>
      </c>
      <c r="AK33" s="19">
        <v>14.970480475505441</v>
      </c>
      <c r="AL33" s="19">
        <v>21.610691515367147</v>
      </c>
      <c r="AM33" s="19">
        <v>23.983630667087972</v>
      </c>
      <c r="AN33" s="19">
        <v>22.778825372052182</v>
      </c>
      <c r="AO33" s="19">
        <v>24.976462049533676</v>
      </c>
      <c r="AP33" s="19">
        <v>24.339443686627906</v>
      </c>
      <c r="AQ33" s="19">
        <v>30.888240872837411</v>
      </c>
      <c r="AR33" s="19">
        <v>19.900376589809827</v>
      </c>
      <c r="AS33" s="19">
        <v>27.31026459741928</v>
      </c>
      <c r="AT33" s="19">
        <v>15.976641288721122</v>
      </c>
      <c r="AU33" s="19">
        <v>35.185066101612982</v>
      </c>
      <c r="AV33" s="19">
        <v>21.190506791786401</v>
      </c>
      <c r="AW33" s="19">
        <v>20.461496060865382</v>
      </c>
      <c r="AX33" s="40">
        <f t="shared" ref="AX33:AX45" si="19">+(AW33+BA33)/2</f>
        <v>20.937047454841249</v>
      </c>
      <c r="AY33" s="40">
        <f t="shared" ref="AY33:AY45" si="20">+(AX33+BA33)/2</f>
        <v>21.17482315182918</v>
      </c>
      <c r="AZ33" s="40">
        <f t="shared" ref="AZ33:AZ45" si="21">+(AY33+BA33)/2</f>
        <v>21.29371100032315</v>
      </c>
      <c r="BA33" s="19">
        <v>21.412598848817115</v>
      </c>
      <c r="BB33" s="19">
        <v>14.781643740020684</v>
      </c>
      <c r="BC33" s="19">
        <v>25.394412172465124</v>
      </c>
      <c r="BD33" s="19">
        <v>14.394337121444313</v>
      </c>
      <c r="BE33" s="19">
        <v>22.168737075323456</v>
      </c>
      <c r="BF33" s="19">
        <v>17.472709800000008</v>
      </c>
      <c r="BG33" s="19">
        <v>17.48714</v>
      </c>
      <c r="BH33" s="19">
        <v>18.353412465921423</v>
      </c>
      <c r="BI33" s="19">
        <v>16.539132300000002</v>
      </c>
      <c r="BJ33" s="19">
        <v>26.563798800000004</v>
      </c>
      <c r="BK33" s="19">
        <v>18.119851200000006</v>
      </c>
      <c r="BL33" s="19">
        <v>24.928000000000001</v>
      </c>
      <c r="BM33" s="19">
        <v>24.584</v>
      </c>
      <c r="BN33" s="19">
        <v>20.552466877070469</v>
      </c>
      <c r="BO33" s="19">
        <v>21.788</v>
      </c>
      <c r="BP33" s="19">
        <v>21.004000000000001</v>
      </c>
      <c r="BQ33" s="19">
        <v>16.155999999999999</v>
      </c>
      <c r="BR33" s="19">
        <v>14.856</v>
      </c>
      <c r="BS33" s="19">
        <v>18.806999999999999</v>
      </c>
      <c r="BT33" s="19">
        <v>21.373000000000001</v>
      </c>
      <c r="BU33" s="19">
        <v>18.672999999999998</v>
      </c>
      <c r="BV33" s="19">
        <v>29.254000000000001</v>
      </c>
      <c r="BW33" s="19">
        <v>22.35</v>
      </c>
      <c r="BX33" s="19">
        <v>29.206</v>
      </c>
      <c r="BY33" s="19">
        <v>29.396000000000001</v>
      </c>
      <c r="BZ33" s="19">
        <v>26.224</v>
      </c>
      <c r="CA33" s="19">
        <v>33.598999999999997</v>
      </c>
      <c r="CB33" s="19">
        <v>29.018000000000001</v>
      </c>
      <c r="CC33" s="19">
        <v>22.391999999999999</v>
      </c>
      <c r="CD33" s="19">
        <v>30.113</v>
      </c>
      <c r="CE33" s="19">
        <v>22.841000000000001</v>
      </c>
      <c r="CF33" s="19">
        <v>25.404</v>
      </c>
      <c r="CG33" s="19">
        <v>33.377000000000002</v>
      </c>
      <c r="CH33" s="19">
        <v>26.727</v>
      </c>
      <c r="CI33" s="19">
        <v>19.797999999999998</v>
      </c>
      <c r="CJ33" s="19">
        <v>31.042000000000002</v>
      </c>
    </row>
    <row r="34" spans="1:88" ht="20.149999999999999" customHeight="1" x14ac:dyDescent="0.25">
      <c r="A34" s="10" t="s">
        <v>23</v>
      </c>
      <c r="B34" s="16">
        <v>369.61923644813862</v>
      </c>
      <c r="C34" s="16">
        <v>338.53157396474535</v>
      </c>
      <c r="D34" s="16">
        <v>319.86124866762765</v>
      </c>
      <c r="E34" s="16">
        <v>410.38638951054213</v>
      </c>
      <c r="F34" s="16">
        <v>360.48254798351854</v>
      </c>
      <c r="G34" s="16">
        <v>374.8538157779517</v>
      </c>
      <c r="H34" s="16">
        <v>363.83386038772113</v>
      </c>
      <c r="I34" s="16">
        <v>366.25086096795604</v>
      </c>
      <c r="J34" s="16">
        <v>384.73405312055985</v>
      </c>
      <c r="K34" s="16">
        <v>401.16995893954476</v>
      </c>
      <c r="L34" s="16">
        <v>372.78378412553656</v>
      </c>
      <c r="M34" s="16">
        <v>413.23082843969621</v>
      </c>
      <c r="N34" s="16">
        <v>371.72146762817209</v>
      </c>
      <c r="O34" s="16">
        <v>397.71528788866357</v>
      </c>
      <c r="P34" s="16">
        <v>355.85845134885386</v>
      </c>
      <c r="Q34" s="16">
        <v>399.7726964832957</v>
      </c>
      <c r="R34" s="40">
        <f t="shared" si="18"/>
        <v>391.34293130080312</v>
      </c>
      <c r="S34" s="17">
        <v>382.91316611831047</v>
      </c>
      <c r="T34" s="16">
        <v>316.28675900902095</v>
      </c>
      <c r="U34" s="16">
        <v>327.6566301894415</v>
      </c>
      <c r="V34" s="16">
        <v>314.93811305733152</v>
      </c>
      <c r="W34" s="16">
        <v>362.70442644324459</v>
      </c>
      <c r="X34" s="16">
        <v>310.01073054734263</v>
      </c>
      <c r="Y34" s="16">
        <v>299.64668285430218</v>
      </c>
      <c r="Z34" s="16">
        <v>337.00386401731316</v>
      </c>
      <c r="AA34" s="16">
        <v>355.22499298049263</v>
      </c>
      <c r="AB34" s="16">
        <v>316.32531518129446</v>
      </c>
      <c r="AC34" s="16">
        <v>344.2617522164843</v>
      </c>
      <c r="AD34" s="16">
        <v>336.98412057590212</v>
      </c>
      <c r="AE34" s="16">
        <v>322.74635672358522</v>
      </c>
      <c r="AF34" s="16">
        <v>297.82254941679133</v>
      </c>
      <c r="AG34" s="19">
        <v>327.15064692812228</v>
      </c>
      <c r="AH34" s="19">
        <v>342.68114389930145</v>
      </c>
      <c r="AI34" s="19">
        <v>332.95599123096611</v>
      </c>
      <c r="AJ34" s="19">
        <v>309.76135616531246</v>
      </c>
      <c r="AK34" s="19">
        <v>300.84173849244019</v>
      </c>
      <c r="AL34" s="19">
        <v>333.15223747906612</v>
      </c>
      <c r="AM34" s="19">
        <v>368.08706677537566</v>
      </c>
      <c r="AN34" s="19">
        <v>320.43979677873824</v>
      </c>
      <c r="AO34" s="19">
        <v>307.69510421149846</v>
      </c>
      <c r="AP34" s="19">
        <v>342.61375470971905</v>
      </c>
      <c r="AQ34" s="19">
        <v>344.02488329073714</v>
      </c>
      <c r="AR34" s="19">
        <v>328.10968185290631</v>
      </c>
      <c r="AS34" s="19">
        <v>294.09258371684007</v>
      </c>
      <c r="AT34" s="19">
        <v>310.25053750749362</v>
      </c>
      <c r="AU34" s="19">
        <v>316.76679356118109</v>
      </c>
      <c r="AV34" s="19">
        <v>296.93995144968329</v>
      </c>
      <c r="AW34" s="19">
        <v>314.02711313151974</v>
      </c>
      <c r="AX34" s="40">
        <f t="shared" si="19"/>
        <v>295.19439256839991</v>
      </c>
      <c r="AY34" s="40">
        <f t="shared" si="20"/>
        <v>285.77803228684002</v>
      </c>
      <c r="AZ34" s="40">
        <f t="shared" si="21"/>
        <v>281.06985214606004</v>
      </c>
      <c r="BA34" s="19">
        <v>276.36167200528007</v>
      </c>
      <c r="BB34" s="19">
        <v>324.143727866159</v>
      </c>
      <c r="BC34" s="19">
        <v>289.22487720054011</v>
      </c>
      <c r="BD34" s="19">
        <v>270.91866383731576</v>
      </c>
      <c r="BE34" s="19">
        <v>300.21207185522439</v>
      </c>
      <c r="BF34" s="19">
        <v>301.00272930000006</v>
      </c>
      <c r="BG34" s="19">
        <v>294.28066999999993</v>
      </c>
      <c r="BH34" s="19">
        <v>293.46061386137995</v>
      </c>
      <c r="BI34" s="19">
        <v>276.04101650000007</v>
      </c>
      <c r="BJ34" s="19">
        <v>266.58820980000007</v>
      </c>
      <c r="BK34" s="19">
        <v>258.30885960000012</v>
      </c>
      <c r="BL34" s="19">
        <v>288.78500000000003</v>
      </c>
      <c r="BM34" s="19">
        <v>302.94200000000001</v>
      </c>
      <c r="BN34" s="19">
        <v>289.14995350319236</v>
      </c>
      <c r="BO34" s="19">
        <v>286.06799999999998</v>
      </c>
      <c r="BP34" s="19">
        <v>296.70699999999999</v>
      </c>
      <c r="BQ34" s="19">
        <v>172.63800000000001</v>
      </c>
      <c r="BR34" s="19">
        <v>213.96</v>
      </c>
      <c r="BS34" s="19">
        <v>304.41800000000001</v>
      </c>
      <c r="BT34" s="19">
        <v>293.84699999999998</v>
      </c>
      <c r="BU34" s="19">
        <v>223.84899999999999</v>
      </c>
      <c r="BV34" s="19">
        <v>240.363</v>
      </c>
      <c r="BW34" s="19">
        <v>332.33800000000002</v>
      </c>
      <c r="BX34" s="19">
        <v>386.779</v>
      </c>
      <c r="BY34" s="19">
        <v>366.971</v>
      </c>
      <c r="BZ34" s="19">
        <v>312.858</v>
      </c>
      <c r="CA34" s="19">
        <v>337.738</v>
      </c>
      <c r="CB34" s="19">
        <v>362.51</v>
      </c>
      <c r="CC34" s="19">
        <v>323.35300000000001</v>
      </c>
      <c r="CD34" s="19">
        <v>328.245</v>
      </c>
      <c r="CE34" s="19">
        <v>326.85000000000002</v>
      </c>
      <c r="CF34" s="19">
        <v>330.57299999999998</v>
      </c>
      <c r="CG34" s="19">
        <v>304.79300000000001</v>
      </c>
      <c r="CH34" s="19">
        <v>262.54899999999998</v>
      </c>
      <c r="CI34" s="19">
        <v>237.79499999999999</v>
      </c>
      <c r="CJ34" s="19">
        <v>301.892</v>
      </c>
    </row>
    <row r="35" spans="1:88" ht="20.149999999999999" customHeight="1" x14ac:dyDescent="0.25">
      <c r="A35" s="10" t="s">
        <v>24</v>
      </c>
      <c r="B35" s="16">
        <v>237.62623793428509</v>
      </c>
      <c r="C35" s="16">
        <v>260.47007939946013</v>
      </c>
      <c r="D35" s="16">
        <v>283.57887490599387</v>
      </c>
      <c r="E35" s="16">
        <v>265.96199171750197</v>
      </c>
      <c r="F35" s="16">
        <v>282.76270013164134</v>
      </c>
      <c r="G35" s="16">
        <v>308.84440021880533</v>
      </c>
      <c r="H35" s="16">
        <v>303.19505427292262</v>
      </c>
      <c r="I35" s="16">
        <v>288.417431383571</v>
      </c>
      <c r="J35" s="16">
        <v>331.74279480799544</v>
      </c>
      <c r="K35" s="16">
        <v>336.16400655156235</v>
      </c>
      <c r="L35" s="16">
        <v>336.82267230989237</v>
      </c>
      <c r="M35" s="16">
        <v>350.5486013933488</v>
      </c>
      <c r="N35" s="16">
        <v>335.51849451445042</v>
      </c>
      <c r="O35" s="16">
        <v>388.10967103535017</v>
      </c>
      <c r="P35" s="16">
        <v>371.13302986013201</v>
      </c>
      <c r="Q35" s="16">
        <v>324.49083164312202</v>
      </c>
      <c r="R35" s="40">
        <f t="shared" si="18"/>
        <v>330.86399334146074</v>
      </c>
      <c r="S35" s="17">
        <v>337.23715503979946</v>
      </c>
      <c r="T35" s="16">
        <v>317.10347049218291</v>
      </c>
      <c r="U35" s="16">
        <v>340.95677674235645</v>
      </c>
      <c r="V35" s="16">
        <v>341.39809205916521</v>
      </c>
      <c r="W35" s="16">
        <v>370.88181374415296</v>
      </c>
      <c r="X35" s="16">
        <v>323.13229065547711</v>
      </c>
      <c r="Y35" s="16">
        <v>344.82561248344877</v>
      </c>
      <c r="Z35" s="16">
        <v>349.57747099625931</v>
      </c>
      <c r="AA35" s="16">
        <v>304.95759401344441</v>
      </c>
      <c r="AB35" s="16">
        <v>298.62009416127609</v>
      </c>
      <c r="AC35" s="16">
        <v>339.82511529426296</v>
      </c>
      <c r="AD35" s="16">
        <v>335.2743510498874</v>
      </c>
      <c r="AE35" s="16">
        <v>330.18135668832571</v>
      </c>
      <c r="AF35" s="16">
        <v>328.95445399236519</v>
      </c>
      <c r="AG35" s="19">
        <v>345.6301489922688</v>
      </c>
      <c r="AH35" s="19">
        <v>374.34020832033042</v>
      </c>
      <c r="AI35" s="19">
        <v>366.36137281473509</v>
      </c>
      <c r="AJ35" s="19">
        <v>372.16170902261632</v>
      </c>
      <c r="AK35" s="19">
        <v>332.76936687511903</v>
      </c>
      <c r="AL35" s="19">
        <v>365.56159431768248</v>
      </c>
      <c r="AM35" s="19">
        <v>360.41275754146295</v>
      </c>
      <c r="AN35" s="19">
        <v>308.82473895265065</v>
      </c>
      <c r="AO35" s="19">
        <v>397.34792477182236</v>
      </c>
      <c r="AP35" s="19">
        <v>411.60751838644865</v>
      </c>
      <c r="AQ35" s="19">
        <v>363.45753868661063</v>
      </c>
      <c r="AR35" s="19">
        <v>366.23523070749019</v>
      </c>
      <c r="AS35" s="19">
        <v>361.5090695163542</v>
      </c>
      <c r="AT35" s="19">
        <v>396.128492479822</v>
      </c>
      <c r="AU35" s="19">
        <v>407.08708669245175</v>
      </c>
      <c r="AV35" s="19">
        <v>371.48491216756054</v>
      </c>
      <c r="AW35" s="19">
        <v>417.15004791778273</v>
      </c>
      <c r="AX35" s="40">
        <f t="shared" si="19"/>
        <v>429.76496774283987</v>
      </c>
      <c r="AY35" s="40">
        <f t="shared" si="20"/>
        <v>436.07242765536847</v>
      </c>
      <c r="AZ35" s="40">
        <f t="shared" si="21"/>
        <v>439.22615761163274</v>
      </c>
      <c r="BA35" s="19">
        <v>442.37988756789707</v>
      </c>
      <c r="BB35" s="19">
        <v>390.8468186530053</v>
      </c>
      <c r="BC35" s="19">
        <v>392.23958265064846</v>
      </c>
      <c r="BD35" s="19">
        <v>377.26659213848984</v>
      </c>
      <c r="BE35" s="19">
        <v>402.73239312515739</v>
      </c>
      <c r="BF35" s="19">
        <v>429.28946970000021</v>
      </c>
      <c r="BG35" s="19">
        <v>383.88483999999988</v>
      </c>
      <c r="BH35" s="19">
        <v>370.69360252500047</v>
      </c>
      <c r="BI35" s="19">
        <v>370.76660680000009</v>
      </c>
      <c r="BJ35" s="19">
        <v>454.28781420000013</v>
      </c>
      <c r="BK35" s="19">
        <v>434.27458800000016</v>
      </c>
      <c r="BL35" s="19">
        <v>379.2</v>
      </c>
      <c r="BM35" s="19">
        <v>412.76400000000001</v>
      </c>
      <c r="BN35" s="19">
        <v>439.25723306122751</v>
      </c>
      <c r="BO35" s="19">
        <v>441.67099999999999</v>
      </c>
      <c r="BP35" s="19">
        <v>392.28699999999998</v>
      </c>
      <c r="BQ35" s="19">
        <v>206.57300000000001</v>
      </c>
      <c r="BR35" s="19">
        <v>301.78399999999999</v>
      </c>
      <c r="BS35" s="19">
        <v>456.46499999999997</v>
      </c>
      <c r="BT35" s="19">
        <v>407.28399999999999</v>
      </c>
      <c r="BU35" s="19">
        <v>426.29300000000001</v>
      </c>
      <c r="BV35" s="19">
        <v>372.935</v>
      </c>
      <c r="BW35" s="19">
        <v>405.89400000000001</v>
      </c>
      <c r="BX35" s="19">
        <v>423.40199999999999</v>
      </c>
      <c r="BY35" s="19">
        <v>510.94</v>
      </c>
      <c r="BZ35" s="19">
        <v>451.25099999999998</v>
      </c>
      <c r="CA35" s="19">
        <v>484.26299999999998</v>
      </c>
      <c r="CB35" s="19">
        <v>435.14400000000001</v>
      </c>
      <c r="CC35" s="19">
        <v>540.98599999999999</v>
      </c>
      <c r="CD35" s="19">
        <v>478.84699999999998</v>
      </c>
      <c r="CE35" s="19">
        <v>452.10599999999999</v>
      </c>
      <c r="CF35" s="19">
        <v>425.14</v>
      </c>
      <c r="CG35" s="19">
        <v>427.76400000000001</v>
      </c>
      <c r="CH35" s="19">
        <v>502.85500000000002</v>
      </c>
      <c r="CI35" s="19">
        <v>459.91899999999998</v>
      </c>
      <c r="CJ35" s="19">
        <v>467.88799999999998</v>
      </c>
    </row>
    <row r="36" spans="1:88" ht="20.149999999999999" customHeight="1" x14ac:dyDescent="0.25">
      <c r="A36" s="10" t="s">
        <v>25</v>
      </c>
      <c r="B36" s="16">
        <v>496.43179243234948</v>
      </c>
      <c r="C36" s="16">
        <v>495.83675471704652</v>
      </c>
      <c r="D36" s="16">
        <v>463.25942712387751</v>
      </c>
      <c r="E36" s="16">
        <v>491.47907609076753</v>
      </c>
      <c r="F36" s="16">
        <v>511.52693681546896</v>
      </c>
      <c r="G36" s="16">
        <v>555.78932604258796</v>
      </c>
      <c r="H36" s="16">
        <v>494.57761662244258</v>
      </c>
      <c r="I36" s="16">
        <v>490.05480358720888</v>
      </c>
      <c r="J36" s="16">
        <v>495.14410459388608</v>
      </c>
      <c r="K36" s="16">
        <v>511.86064439585419</v>
      </c>
      <c r="L36" s="16">
        <v>471.78463380431828</v>
      </c>
      <c r="M36" s="16">
        <v>471.60347293883751</v>
      </c>
      <c r="N36" s="16">
        <v>497.1539312223623</v>
      </c>
      <c r="O36" s="16">
        <v>490.29370039380586</v>
      </c>
      <c r="P36" s="16">
        <v>488.32834596053334</v>
      </c>
      <c r="Q36" s="16">
        <v>485.49881503883677</v>
      </c>
      <c r="R36" s="40">
        <f t="shared" si="18"/>
        <v>496.7420323686315</v>
      </c>
      <c r="S36" s="17">
        <v>507.98524969842629</v>
      </c>
      <c r="T36" s="16">
        <v>519.44069301466106</v>
      </c>
      <c r="U36" s="16">
        <v>457.79740144970805</v>
      </c>
      <c r="V36" s="16">
        <v>448.91571491632573</v>
      </c>
      <c r="W36" s="16">
        <v>471.95061120090622</v>
      </c>
      <c r="X36" s="16">
        <v>502.85907430778207</v>
      </c>
      <c r="Y36" s="16">
        <v>450.43604794818981</v>
      </c>
      <c r="Z36" s="16">
        <v>468.39311232767375</v>
      </c>
      <c r="AA36" s="16">
        <v>502.57605622957158</v>
      </c>
      <c r="AB36" s="16">
        <v>471.73270372258781</v>
      </c>
      <c r="AC36" s="16">
        <v>484.89127889149881</v>
      </c>
      <c r="AD36" s="16">
        <v>473.84442204315047</v>
      </c>
      <c r="AE36" s="16">
        <v>493.84655830787045</v>
      </c>
      <c r="AF36" s="16">
        <v>487.69155057852396</v>
      </c>
      <c r="AG36" s="19">
        <v>515.30455016859923</v>
      </c>
      <c r="AH36" s="19">
        <v>444.94426165478706</v>
      </c>
      <c r="AI36" s="19">
        <v>441.68388117417891</v>
      </c>
      <c r="AJ36" s="19">
        <v>393.6620184409569</v>
      </c>
      <c r="AK36" s="19">
        <v>463.99332902268912</v>
      </c>
      <c r="AL36" s="19">
        <v>501.60709993335121</v>
      </c>
      <c r="AM36" s="19">
        <v>437.08179140788673</v>
      </c>
      <c r="AN36" s="19">
        <v>434.82848832954483</v>
      </c>
      <c r="AO36" s="19">
        <v>450.85859061289915</v>
      </c>
      <c r="AP36" s="19">
        <v>477.23543042924234</v>
      </c>
      <c r="AQ36" s="19">
        <v>457.11990404638522</v>
      </c>
      <c r="AR36" s="19">
        <v>420.72382783948933</v>
      </c>
      <c r="AS36" s="19">
        <v>439.9410393744231</v>
      </c>
      <c r="AT36" s="19">
        <v>429.20334730331689</v>
      </c>
      <c r="AU36" s="19">
        <v>516.59804991838564</v>
      </c>
      <c r="AV36" s="19">
        <v>396.82444073982549</v>
      </c>
      <c r="AW36" s="19">
        <v>401.14149432891469</v>
      </c>
      <c r="AX36" s="40">
        <f t="shared" si="19"/>
        <v>414.43796254358597</v>
      </c>
      <c r="AY36" s="40">
        <f t="shared" si="20"/>
        <v>421.08619665092164</v>
      </c>
      <c r="AZ36" s="40">
        <f t="shared" si="21"/>
        <v>424.4103137045895</v>
      </c>
      <c r="BA36" s="19">
        <v>427.7344307582573</v>
      </c>
      <c r="BB36" s="19">
        <v>493.51280772374668</v>
      </c>
      <c r="BC36" s="19">
        <v>453.04529982158829</v>
      </c>
      <c r="BD36" s="19">
        <v>459.29853135378306</v>
      </c>
      <c r="BE36" s="19">
        <v>463.6338763209813</v>
      </c>
      <c r="BF36" s="19">
        <v>493.17021390000014</v>
      </c>
      <c r="BG36" s="19">
        <v>510.12776999999988</v>
      </c>
      <c r="BH36" s="19">
        <v>460.94539983706397</v>
      </c>
      <c r="BI36" s="19">
        <v>467.35243290000005</v>
      </c>
      <c r="BJ36" s="19">
        <v>478.14635880000014</v>
      </c>
      <c r="BK36" s="19">
        <v>483.13578060000015</v>
      </c>
      <c r="BL36" s="19">
        <v>476.05099999999999</v>
      </c>
      <c r="BM36" s="19">
        <v>481.53899999999999</v>
      </c>
      <c r="BN36" s="19">
        <v>516.76426269553519</v>
      </c>
      <c r="BO36" s="19">
        <v>487.86799999999999</v>
      </c>
      <c r="BP36" s="19">
        <v>538.57899999999995</v>
      </c>
      <c r="BQ36" s="19">
        <v>332.459</v>
      </c>
      <c r="BR36" s="19">
        <v>361.89299999999997</v>
      </c>
      <c r="BS36" s="19">
        <v>414.51</v>
      </c>
      <c r="BT36" s="19">
        <v>500.40199999999999</v>
      </c>
      <c r="BU36" s="19">
        <v>449.077</v>
      </c>
      <c r="BV36" s="19">
        <v>466.375</v>
      </c>
      <c r="BW36" s="19">
        <v>550.43799999999999</v>
      </c>
      <c r="BX36" s="19">
        <v>584.52099999999996</v>
      </c>
      <c r="BY36" s="19">
        <v>600.40800000000002</v>
      </c>
      <c r="BZ36" s="19">
        <v>573.51499999999999</v>
      </c>
      <c r="CA36" s="19">
        <v>552.74699999999996</v>
      </c>
      <c r="CB36" s="19">
        <v>629.87400000000002</v>
      </c>
      <c r="CC36" s="19">
        <v>616.41700000000003</v>
      </c>
      <c r="CD36" s="19">
        <v>661.57</v>
      </c>
      <c r="CE36" s="19">
        <v>608.31399999999996</v>
      </c>
      <c r="CF36" s="19">
        <v>616.36500000000001</v>
      </c>
      <c r="CG36" s="19">
        <v>643.23599999999999</v>
      </c>
      <c r="CH36" s="19">
        <v>648.78899999999999</v>
      </c>
      <c r="CI36" s="19">
        <v>609.94000000000005</v>
      </c>
      <c r="CJ36" s="19">
        <v>609.09299999999996</v>
      </c>
    </row>
    <row r="37" spans="1:88" ht="20.149999999999999" customHeight="1" x14ac:dyDescent="0.25">
      <c r="A37" s="10" t="s">
        <v>26</v>
      </c>
      <c r="B37" s="16">
        <v>97.650579106354272</v>
      </c>
      <c r="C37" s="16">
        <v>138.9622750786788</v>
      </c>
      <c r="D37" s="16">
        <v>124.21128449269884</v>
      </c>
      <c r="E37" s="16">
        <v>122.73035831315832</v>
      </c>
      <c r="F37" s="16">
        <v>130.26954464438558</v>
      </c>
      <c r="G37" s="16">
        <v>136.57941476212255</v>
      </c>
      <c r="H37" s="16">
        <v>126.68683737538242</v>
      </c>
      <c r="I37" s="16">
        <v>128.83820986654229</v>
      </c>
      <c r="J37" s="16">
        <v>124.06920624304945</v>
      </c>
      <c r="K37" s="16">
        <v>124.16143054790113</v>
      </c>
      <c r="L37" s="16">
        <v>139.8287402757303</v>
      </c>
      <c r="M37" s="16">
        <v>128.78505066121232</v>
      </c>
      <c r="N37" s="16">
        <v>135.17879572154382</v>
      </c>
      <c r="O37" s="16">
        <v>137.99995256546867</v>
      </c>
      <c r="P37" s="16">
        <v>118.98844964519202</v>
      </c>
      <c r="Q37" s="16">
        <v>124.63435595185263</v>
      </c>
      <c r="R37" s="40">
        <f t="shared" si="18"/>
        <v>125.55409278042222</v>
      </c>
      <c r="S37" s="17">
        <v>126.47382960899181</v>
      </c>
      <c r="T37" s="16">
        <v>134.22003107173902</v>
      </c>
      <c r="U37" s="16">
        <v>121.88365194884008</v>
      </c>
      <c r="V37" s="16">
        <v>116.22339621971294</v>
      </c>
      <c r="W37" s="16">
        <v>154.4765939287627</v>
      </c>
      <c r="X37" s="16">
        <v>123.22883011151445</v>
      </c>
      <c r="Y37" s="16">
        <v>107.71979093957708</v>
      </c>
      <c r="Z37" s="16">
        <v>117.66461544320964</v>
      </c>
      <c r="AA37" s="16">
        <v>136.90176913199178</v>
      </c>
      <c r="AB37" s="16">
        <v>131.94444680535</v>
      </c>
      <c r="AC37" s="16">
        <v>139.52496976491776</v>
      </c>
      <c r="AD37" s="16">
        <v>114.47479626749391</v>
      </c>
      <c r="AE37" s="16">
        <v>136.38817985712197</v>
      </c>
      <c r="AF37" s="16">
        <v>136.05802914286394</v>
      </c>
      <c r="AG37" s="19">
        <v>126.7215732233863</v>
      </c>
      <c r="AH37" s="19">
        <v>138.67834318954837</v>
      </c>
      <c r="AI37" s="19">
        <v>147.75833531865632</v>
      </c>
      <c r="AJ37" s="19">
        <v>136.50141448897134</v>
      </c>
      <c r="AK37" s="19">
        <v>144.62856596279656</v>
      </c>
      <c r="AL37" s="19">
        <v>138.48848910033254</v>
      </c>
      <c r="AM37" s="19">
        <v>158.74845059980657</v>
      </c>
      <c r="AN37" s="19">
        <v>129.99014685131388</v>
      </c>
      <c r="AO37" s="19">
        <v>145.39043037630333</v>
      </c>
      <c r="AP37" s="19">
        <v>125.04035573089558</v>
      </c>
      <c r="AQ37" s="19">
        <v>113.44012370390099</v>
      </c>
      <c r="AR37" s="19">
        <v>140.95258103987715</v>
      </c>
      <c r="AS37" s="19">
        <v>119.2145101196075</v>
      </c>
      <c r="AT37" s="19">
        <v>143.84088883222441</v>
      </c>
      <c r="AU37" s="19">
        <v>130.1274320750849</v>
      </c>
      <c r="AV37" s="19">
        <v>134.07479619150823</v>
      </c>
      <c r="AW37" s="19">
        <v>130.47972961760263</v>
      </c>
      <c r="AX37" s="40">
        <f t="shared" si="19"/>
        <v>140.51531048601737</v>
      </c>
      <c r="AY37" s="40">
        <f t="shared" si="20"/>
        <v>145.53310092022474</v>
      </c>
      <c r="AZ37" s="40">
        <f t="shared" si="21"/>
        <v>148.04199613732845</v>
      </c>
      <c r="BA37" s="19">
        <v>150.55089135443214</v>
      </c>
      <c r="BB37" s="19">
        <v>138.17755490389018</v>
      </c>
      <c r="BC37" s="19">
        <v>146.7791558704748</v>
      </c>
      <c r="BD37" s="19">
        <v>150.12581387322481</v>
      </c>
      <c r="BE37" s="19">
        <v>151.09967471625404</v>
      </c>
      <c r="BF37" s="19">
        <v>159.29580030000005</v>
      </c>
      <c r="BG37" s="19">
        <v>172.78069999999997</v>
      </c>
      <c r="BH37" s="19">
        <v>179.29316411043979</v>
      </c>
      <c r="BI37" s="19">
        <v>190.42371430000003</v>
      </c>
      <c r="BJ37" s="19">
        <v>164.10057840000005</v>
      </c>
      <c r="BK37" s="19">
        <v>174.13597080000002</v>
      </c>
      <c r="BL37" s="19">
        <v>204.839</v>
      </c>
      <c r="BM37" s="19">
        <v>174.50399999999999</v>
      </c>
      <c r="BN37" s="19">
        <v>133.25519018396008</v>
      </c>
      <c r="BO37" s="19">
        <v>184.95500000000001</v>
      </c>
      <c r="BP37" s="19">
        <v>198.244</v>
      </c>
      <c r="BQ37" s="19">
        <v>56.296999999999997</v>
      </c>
      <c r="BR37" s="19">
        <v>94.486999999999995</v>
      </c>
      <c r="BS37" s="19">
        <v>101.37</v>
      </c>
      <c r="BT37" s="19">
        <v>126.017</v>
      </c>
      <c r="BU37" s="19">
        <v>113.35299999999999</v>
      </c>
      <c r="BV37" s="19">
        <v>141.92099999999999</v>
      </c>
      <c r="BW37" s="19">
        <v>198.524</v>
      </c>
      <c r="BX37" s="19">
        <v>201.702</v>
      </c>
      <c r="BY37" s="19">
        <v>205.226</v>
      </c>
      <c r="BZ37" s="19">
        <v>200.60499999999999</v>
      </c>
      <c r="CA37" s="19">
        <v>193.43700000000001</v>
      </c>
      <c r="CB37" s="19">
        <v>195.86699999999999</v>
      </c>
      <c r="CC37" s="19">
        <v>197.917</v>
      </c>
      <c r="CD37" s="19">
        <v>251.55099999999999</v>
      </c>
      <c r="CE37" s="19">
        <v>250.38200000000001</v>
      </c>
      <c r="CF37" s="19">
        <v>221.45599999999999</v>
      </c>
      <c r="CG37" s="19">
        <v>229.81</v>
      </c>
      <c r="CH37" s="19">
        <v>249.523</v>
      </c>
      <c r="CI37" s="19">
        <v>323.50599999999997</v>
      </c>
      <c r="CJ37" s="19">
        <v>304.67899999999997</v>
      </c>
    </row>
    <row r="38" spans="1:88" ht="20.149999999999999" customHeight="1" x14ac:dyDescent="0.25">
      <c r="A38" s="10" t="s">
        <v>27</v>
      </c>
      <c r="B38" s="16">
        <v>199.74444258062576</v>
      </c>
      <c r="C38" s="16">
        <v>225.48948990659056</v>
      </c>
      <c r="D38" s="16">
        <v>232.23445369879227</v>
      </c>
      <c r="E38" s="16">
        <v>227.56619242564165</v>
      </c>
      <c r="F38" s="16">
        <v>258.14591871792135</v>
      </c>
      <c r="G38" s="16">
        <v>262.71230328833394</v>
      </c>
      <c r="H38" s="16">
        <v>254.87134628526218</v>
      </c>
      <c r="I38" s="16">
        <v>244.95434514489708</v>
      </c>
      <c r="J38" s="16">
        <v>250.79575198246351</v>
      </c>
      <c r="K38" s="16">
        <v>254.48281915936695</v>
      </c>
      <c r="L38" s="16">
        <v>223.12521583150664</v>
      </c>
      <c r="M38" s="16">
        <v>211.73861888249735</v>
      </c>
      <c r="N38" s="16">
        <v>239.62328124190284</v>
      </c>
      <c r="O38" s="16">
        <v>208.90747752303847</v>
      </c>
      <c r="P38" s="16">
        <v>216.90327215855896</v>
      </c>
      <c r="Q38" s="16">
        <v>244.67036440307663</v>
      </c>
      <c r="R38" s="40">
        <f t="shared" si="18"/>
        <v>234.55352875292681</v>
      </c>
      <c r="S38" s="17">
        <v>224.43669310277701</v>
      </c>
      <c r="T38" s="16">
        <v>209.61651914976525</v>
      </c>
      <c r="U38" s="16">
        <v>233.04452406625089</v>
      </c>
      <c r="V38" s="16">
        <v>184.42675522928118</v>
      </c>
      <c r="W38" s="16">
        <v>237.34194024284065</v>
      </c>
      <c r="X38" s="16">
        <v>224.46145761450632</v>
      </c>
      <c r="Y38" s="16">
        <v>219.67357801342666</v>
      </c>
      <c r="Z38" s="16">
        <v>206.29258932578011</v>
      </c>
      <c r="AA38" s="16">
        <v>203.49752909075119</v>
      </c>
      <c r="AB38" s="16">
        <v>233.53139540278684</v>
      </c>
      <c r="AC38" s="16">
        <v>236.9509801869585</v>
      </c>
      <c r="AD38" s="16">
        <v>219.98046064941627</v>
      </c>
      <c r="AE38" s="16">
        <v>201.41551054144162</v>
      </c>
      <c r="AF38" s="16">
        <v>209.31492748614252</v>
      </c>
      <c r="AG38" s="19">
        <v>218.06449093354527</v>
      </c>
      <c r="AH38" s="19">
        <v>181.09918598925816</v>
      </c>
      <c r="AI38" s="19">
        <v>205.88330792980784</v>
      </c>
      <c r="AJ38" s="19">
        <v>223.42904395545284</v>
      </c>
      <c r="AK38" s="19">
        <v>230.42152839643848</v>
      </c>
      <c r="AL38" s="19">
        <v>250.11649297908713</v>
      </c>
      <c r="AM38" s="19">
        <v>289.22405065510708</v>
      </c>
      <c r="AN38" s="19">
        <v>222.82612132537963</v>
      </c>
      <c r="AO38" s="19">
        <v>217.53432980988939</v>
      </c>
      <c r="AP38" s="19">
        <v>224.14300448395687</v>
      </c>
      <c r="AQ38" s="19">
        <v>245.34783615192376</v>
      </c>
      <c r="AR38" s="19">
        <v>202.37943396199728</v>
      </c>
      <c r="AS38" s="19">
        <v>201.91280080006371</v>
      </c>
      <c r="AT38" s="19">
        <v>193.95281696975201</v>
      </c>
      <c r="AU38" s="19">
        <v>216.30359052711327</v>
      </c>
      <c r="AV38" s="19">
        <v>221.54733033419856</v>
      </c>
      <c r="AW38" s="19">
        <v>208.24243073038673</v>
      </c>
      <c r="AX38" s="40">
        <f t="shared" si="19"/>
        <v>226.9653650348132</v>
      </c>
      <c r="AY38" s="40">
        <f t="shared" si="20"/>
        <v>236.32683218702641</v>
      </c>
      <c r="AZ38" s="40">
        <f t="shared" si="21"/>
        <v>241.00756576313302</v>
      </c>
      <c r="BA38" s="19">
        <v>245.68829933923965</v>
      </c>
      <c r="BB38" s="19">
        <v>210.98172942515038</v>
      </c>
      <c r="BC38" s="19">
        <v>211.13501044630877</v>
      </c>
      <c r="BD38" s="19">
        <v>233.42439000699196</v>
      </c>
      <c r="BE38" s="19">
        <v>237.77019634441953</v>
      </c>
      <c r="BF38" s="19">
        <v>222.02301030000007</v>
      </c>
      <c r="BG38" s="19">
        <v>205.50469999999999</v>
      </c>
      <c r="BH38" s="19">
        <v>209.37874608515284</v>
      </c>
      <c r="BI38" s="19">
        <v>212.43549470000002</v>
      </c>
      <c r="BJ38" s="19">
        <v>190.98549360000004</v>
      </c>
      <c r="BK38" s="19">
        <v>207.50986080000001</v>
      </c>
      <c r="BL38" s="19">
        <v>208.357</v>
      </c>
      <c r="BM38" s="19">
        <v>213.58600000000001</v>
      </c>
      <c r="BN38" s="19">
        <v>210.27722380882665</v>
      </c>
      <c r="BO38" s="19">
        <v>201.80699999999999</v>
      </c>
      <c r="BP38" s="19">
        <v>178.53299999999999</v>
      </c>
      <c r="BQ38" s="19">
        <v>110.985</v>
      </c>
      <c r="BR38" s="19">
        <v>149.88900000000001</v>
      </c>
      <c r="BS38" s="19">
        <v>137.607</v>
      </c>
      <c r="BT38" s="19">
        <v>184.16</v>
      </c>
      <c r="BU38" s="19">
        <v>173.767</v>
      </c>
      <c r="BV38" s="19">
        <v>243.13399999999999</v>
      </c>
      <c r="BW38" s="19">
        <v>184.322</v>
      </c>
      <c r="BX38" s="19">
        <v>223.81899999999999</v>
      </c>
      <c r="BY38" s="19">
        <v>242.88200000000001</v>
      </c>
      <c r="BZ38" s="19">
        <v>221.92599999999999</v>
      </c>
      <c r="CA38" s="19">
        <v>230.345</v>
      </c>
      <c r="CB38" s="19">
        <v>249.87200000000001</v>
      </c>
      <c r="CC38" s="19">
        <v>278.62400000000002</v>
      </c>
      <c r="CD38" s="19">
        <v>227.82300000000001</v>
      </c>
      <c r="CE38" s="19">
        <v>270.24700000000001</v>
      </c>
      <c r="CF38" s="19">
        <v>249.327</v>
      </c>
      <c r="CG38" s="19">
        <v>269.42</v>
      </c>
      <c r="CH38" s="19">
        <v>282.28500000000003</v>
      </c>
      <c r="CI38" s="19">
        <v>311.267</v>
      </c>
      <c r="CJ38" s="19">
        <v>313.49299999999999</v>
      </c>
    </row>
    <row r="39" spans="1:88" ht="20.149999999999999" customHeight="1" x14ac:dyDescent="0.25">
      <c r="A39" s="10" t="s">
        <v>63</v>
      </c>
      <c r="B39" s="16">
        <v>183.97840884860648</v>
      </c>
      <c r="C39" s="16">
        <v>182.28268910302953</v>
      </c>
      <c r="D39" s="16">
        <v>207.88921283198778</v>
      </c>
      <c r="E39" s="16">
        <v>197.83475598808181</v>
      </c>
      <c r="F39" s="16">
        <v>197.64893535395606</v>
      </c>
      <c r="G39" s="16">
        <v>225.96808041922563</v>
      </c>
      <c r="H39" s="16">
        <v>215.09961915829271</v>
      </c>
      <c r="I39" s="16">
        <v>202.46296342259669</v>
      </c>
      <c r="J39" s="16">
        <v>210.12014179398247</v>
      </c>
      <c r="K39" s="16">
        <v>191.13496228741312</v>
      </c>
      <c r="L39" s="16">
        <v>181.63469773634594</v>
      </c>
      <c r="M39" s="16">
        <v>194.38954995584353</v>
      </c>
      <c r="N39" s="16">
        <v>209.4976112835258</v>
      </c>
      <c r="O39" s="16">
        <v>193.81120011868518</v>
      </c>
      <c r="P39" s="16">
        <v>211.68605432077626</v>
      </c>
      <c r="Q39" s="16">
        <v>211.06830205703892</v>
      </c>
      <c r="R39" s="40">
        <f t="shared" si="18"/>
        <v>206.670989781027</v>
      </c>
      <c r="S39" s="17">
        <v>202.27367750501509</v>
      </c>
      <c r="T39" s="16">
        <v>188.01937630958207</v>
      </c>
      <c r="U39" s="16">
        <v>180.70001356231859</v>
      </c>
      <c r="V39" s="16">
        <v>191.72630521407012</v>
      </c>
      <c r="W39" s="16">
        <v>204.91876265330924</v>
      </c>
      <c r="X39" s="16">
        <v>189.20420132022736</v>
      </c>
      <c r="Y39" s="16">
        <v>212.48546520207697</v>
      </c>
      <c r="Z39" s="16">
        <v>171.73326642200044</v>
      </c>
      <c r="AA39" s="16">
        <v>194.34177250568257</v>
      </c>
      <c r="AB39" s="16">
        <v>168.53462406392384</v>
      </c>
      <c r="AC39" s="16">
        <v>205.18474164288352</v>
      </c>
      <c r="AD39" s="16">
        <v>183.95361246100333</v>
      </c>
      <c r="AE39" s="16">
        <v>195.92857679354006</v>
      </c>
      <c r="AF39" s="16">
        <v>174.43712341860339</v>
      </c>
      <c r="AG39" s="19">
        <v>189.93757156040479</v>
      </c>
      <c r="AH39" s="19">
        <v>176.79550299692374</v>
      </c>
      <c r="AI39" s="19">
        <v>202.40549020287909</v>
      </c>
      <c r="AJ39" s="19">
        <v>156.29597031709483</v>
      </c>
      <c r="AK39" s="19">
        <v>169.2000720583568</v>
      </c>
      <c r="AL39" s="19">
        <v>170.33977272389956</v>
      </c>
      <c r="AM39" s="19">
        <v>200.44645650164122</v>
      </c>
      <c r="AN39" s="19">
        <v>170.07049364762423</v>
      </c>
      <c r="AO39" s="19">
        <v>184.70213447104928</v>
      </c>
      <c r="AP39" s="19">
        <v>166.75833153482733</v>
      </c>
      <c r="AQ39" s="19">
        <v>176.445334825804</v>
      </c>
      <c r="AR39" s="19">
        <v>161.35511477657647</v>
      </c>
      <c r="AS39" s="19">
        <v>139.29066566638411</v>
      </c>
      <c r="AT39" s="19">
        <v>149.49485580271852</v>
      </c>
      <c r="AU39" s="19">
        <v>156.18758654133538</v>
      </c>
      <c r="AV39" s="19">
        <v>142.93761230140373</v>
      </c>
      <c r="AW39" s="19">
        <v>150.86809523967034</v>
      </c>
      <c r="AX39" s="40">
        <f t="shared" si="19"/>
        <v>151.9598128838756</v>
      </c>
      <c r="AY39" s="40">
        <f t="shared" si="20"/>
        <v>152.50567170597822</v>
      </c>
      <c r="AZ39" s="40">
        <f t="shared" si="21"/>
        <v>152.77860111702952</v>
      </c>
      <c r="BA39" s="19">
        <v>153.05153052808083</v>
      </c>
      <c r="BB39" s="19">
        <v>148.6877316605038</v>
      </c>
      <c r="BC39" s="19">
        <v>195.28589359965926</v>
      </c>
      <c r="BD39" s="19">
        <v>229.2633056254555</v>
      </c>
      <c r="BE39" s="19">
        <v>195.1435966968555</v>
      </c>
      <c r="BF39" s="19">
        <v>172.64023140000006</v>
      </c>
      <c r="BG39" s="19">
        <v>180.67283999999995</v>
      </c>
      <c r="BH39" s="19">
        <v>194.68136822067197</v>
      </c>
      <c r="BI39" s="19">
        <v>173.69775050000004</v>
      </c>
      <c r="BJ39" s="19">
        <v>171.39739320000004</v>
      </c>
      <c r="BK39" s="19">
        <v>213.42022020000007</v>
      </c>
      <c r="BL39" s="19">
        <v>225.833</v>
      </c>
      <c r="BM39" s="19">
        <v>212.85</v>
      </c>
      <c r="BN39" s="19">
        <v>206.73512952230149</v>
      </c>
      <c r="BO39" s="19">
        <v>202.96700000000001</v>
      </c>
      <c r="BP39" s="19">
        <v>223.078</v>
      </c>
      <c r="BQ39" s="19">
        <v>115.051</v>
      </c>
      <c r="BR39" s="19">
        <v>127.765</v>
      </c>
      <c r="BS39" s="19">
        <v>185.39599999999999</v>
      </c>
      <c r="BT39" s="19">
        <v>200.57900000000001</v>
      </c>
      <c r="BU39" s="19">
        <v>183.03299999999999</v>
      </c>
      <c r="BV39" s="19">
        <v>203.79900000000001</v>
      </c>
      <c r="BW39" s="19">
        <v>220.60300000000001</v>
      </c>
      <c r="BX39" s="19">
        <v>204.61199999999999</v>
      </c>
      <c r="BY39" s="19">
        <v>221.31800000000001</v>
      </c>
      <c r="BZ39" s="19">
        <v>218.67099999999999</v>
      </c>
      <c r="CA39" s="19">
        <v>223.477</v>
      </c>
      <c r="CB39" s="19">
        <v>241.191</v>
      </c>
      <c r="CC39" s="19">
        <v>256.38799999999998</v>
      </c>
      <c r="CD39" s="19">
        <v>249.06399999999999</v>
      </c>
      <c r="CE39" s="19">
        <v>237.126</v>
      </c>
      <c r="CF39" s="19">
        <v>245.857</v>
      </c>
      <c r="CG39" s="19">
        <v>252.292</v>
      </c>
      <c r="CH39" s="19">
        <v>257.685</v>
      </c>
      <c r="CI39" s="19">
        <v>231.47800000000001</v>
      </c>
      <c r="CJ39" s="19">
        <v>245.959</v>
      </c>
    </row>
    <row r="40" spans="1:88" ht="20.149999999999999" customHeight="1" x14ac:dyDescent="0.25">
      <c r="A40" s="10" t="s">
        <v>28</v>
      </c>
      <c r="B40" s="16">
        <v>61.941620982497945</v>
      </c>
      <c r="C40" s="16">
        <v>60.405385929049316</v>
      </c>
      <c r="D40" s="16">
        <v>45.464861928793972</v>
      </c>
      <c r="E40" s="16">
        <v>66.805000334429224</v>
      </c>
      <c r="F40" s="16">
        <v>51.066216912199195</v>
      </c>
      <c r="G40" s="16">
        <v>43.893190642407141</v>
      </c>
      <c r="H40" s="16">
        <v>38.897488240803575</v>
      </c>
      <c r="I40" s="16">
        <v>66.159692360865478</v>
      </c>
      <c r="J40" s="16">
        <v>63.288065148111812</v>
      </c>
      <c r="K40" s="16">
        <v>54.228331533796784</v>
      </c>
      <c r="L40" s="16">
        <v>46.870397922221315</v>
      </c>
      <c r="M40" s="16">
        <v>63.518919732171824</v>
      </c>
      <c r="N40" s="16">
        <v>55.113283913516398</v>
      </c>
      <c r="O40" s="16">
        <v>68.028473797781004</v>
      </c>
      <c r="P40" s="16">
        <v>42.625693513588502</v>
      </c>
      <c r="Q40" s="16">
        <v>48.202144764901981</v>
      </c>
      <c r="R40" s="40">
        <f t="shared" si="18"/>
        <v>64.128990935487025</v>
      </c>
      <c r="S40" s="17">
        <v>80.055837106072062</v>
      </c>
      <c r="T40" s="16">
        <v>51.295372842327723</v>
      </c>
      <c r="U40" s="16">
        <v>50.610017848180689</v>
      </c>
      <c r="V40" s="16">
        <v>49.464898685055594</v>
      </c>
      <c r="W40" s="16">
        <v>53.110214581198846</v>
      </c>
      <c r="X40" s="16">
        <v>41.023330236419589</v>
      </c>
      <c r="Y40" s="16">
        <v>61.836723806511742</v>
      </c>
      <c r="Z40" s="16">
        <v>48.020922397009535</v>
      </c>
      <c r="AA40" s="16">
        <v>45.030000158386045</v>
      </c>
      <c r="AB40" s="16">
        <v>53.619221036452402</v>
      </c>
      <c r="AC40" s="16">
        <v>47.924474305756966</v>
      </c>
      <c r="AD40" s="16">
        <v>46.362159551709198</v>
      </c>
      <c r="AE40" s="16">
        <v>51.860737052694574</v>
      </c>
      <c r="AF40" s="16">
        <v>51.216476059269716</v>
      </c>
      <c r="AG40" s="19">
        <v>61.13145792858235</v>
      </c>
      <c r="AH40" s="19">
        <v>55.085085583604105</v>
      </c>
      <c r="AI40" s="19">
        <v>61.784044682154729</v>
      </c>
      <c r="AJ40" s="19">
        <v>45.798301488266425</v>
      </c>
      <c r="AK40" s="19">
        <v>59.289316805884653</v>
      </c>
      <c r="AL40" s="19">
        <v>63.40554485459387</v>
      </c>
      <c r="AM40" s="19">
        <v>62.841699858718513</v>
      </c>
      <c r="AN40" s="19">
        <v>43.32077586249023</v>
      </c>
      <c r="AO40" s="19">
        <v>62.792180136104413</v>
      </c>
      <c r="AP40" s="19">
        <v>62.633749546347481</v>
      </c>
      <c r="AQ40" s="19">
        <v>49.08707687849671</v>
      </c>
      <c r="AR40" s="19">
        <v>63.599162511279921</v>
      </c>
      <c r="AS40" s="19">
        <v>65.078926739244139</v>
      </c>
      <c r="AT40" s="19">
        <v>67.509828983802478</v>
      </c>
      <c r="AU40" s="19">
        <v>72.862023631484064</v>
      </c>
      <c r="AV40" s="19">
        <v>49.365935889538008</v>
      </c>
      <c r="AW40" s="19">
        <v>52.589801577047218</v>
      </c>
      <c r="AX40" s="40">
        <f t="shared" si="19"/>
        <v>65.930231902158027</v>
      </c>
      <c r="AY40" s="40">
        <f t="shared" si="20"/>
        <v>72.600447064713435</v>
      </c>
      <c r="AZ40" s="40">
        <f t="shared" si="21"/>
        <v>75.935554645991147</v>
      </c>
      <c r="BA40" s="19">
        <v>79.270662227268843</v>
      </c>
      <c r="BB40" s="19">
        <v>56.41858025560574</v>
      </c>
      <c r="BC40" s="19">
        <v>74.197669359926081</v>
      </c>
      <c r="BD40" s="19">
        <v>47.937958262757746</v>
      </c>
      <c r="BE40" s="19">
        <v>60.799597391100299</v>
      </c>
      <c r="BF40" s="19">
        <v>67.404983100000024</v>
      </c>
      <c r="BG40" s="19">
        <v>80.794949999999986</v>
      </c>
      <c r="BH40" s="19">
        <v>63.906376344076044</v>
      </c>
      <c r="BI40" s="19">
        <v>77.501745799999995</v>
      </c>
      <c r="BJ40" s="19">
        <v>85.392727200000024</v>
      </c>
      <c r="BK40" s="19">
        <v>92.628954000000036</v>
      </c>
      <c r="BL40" s="19">
        <v>74.414000000000001</v>
      </c>
      <c r="BM40" s="19">
        <v>75.322999999999993</v>
      </c>
      <c r="BN40" s="19">
        <v>75.360059851928057</v>
      </c>
      <c r="BO40" s="19">
        <v>82.075999999999993</v>
      </c>
      <c r="BP40" s="19">
        <v>69.41</v>
      </c>
      <c r="BQ40" s="19">
        <v>38.292000000000002</v>
      </c>
      <c r="BR40" s="19">
        <v>38.738</v>
      </c>
      <c r="BS40" s="19">
        <v>52.165999999999997</v>
      </c>
      <c r="BT40" s="19">
        <v>64.332999999999998</v>
      </c>
      <c r="BU40" s="19">
        <v>77.906000000000006</v>
      </c>
      <c r="BV40" s="19">
        <v>58.890999999999998</v>
      </c>
      <c r="BW40" s="19">
        <v>84.605999999999995</v>
      </c>
      <c r="BX40" s="19">
        <v>62.15</v>
      </c>
      <c r="BY40" s="19">
        <v>62.319000000000003</v>
      </c>
      <c r="BZ40" s="19">
        <v>69.512</v>
      </c>
      <c r="CA40" s="19">
        <v>83.358999999999995</v>
      </c>
      <c r="CB40" s="19">
        <v>46.677999999999997</v>
      </c>
      <c r="CC40" s="19">
        <v>68.891000000000005</v>
      </c>
      <c r="CD40" s="19">
        <v>85.021000000000001</v>
      </c>
      <c r="CE40" s="19">
        <v>76.269000000000005</v>
      </c>
      <c r="CF40" s="19">
        <v>64.13</v>
      </c>
      <c r="CG40" s="19">
        <v>74.430999999999997</v>
      </c>
      <c r="CH40" s="19">
        <v>85.644000000000005</v>
      </c>
      <c r="CI40" s="19">
        <v>84.962999999999994</v>
      </c>
      <c r="CJ40" s="19">
        <v>70.724999999999994</v>
      </c>
    </row>
    <row r="41" spans="1:88" ht="20.149999999999999" customHeight="1" x14ac:dyDescent="0.25">
      <c r="A41" s="10" t="s">
        <v>29</v>
      </c>
      <c r="B41" s="16">
        <v>124.37129150655203</v>
      </c>
      <c r="C41" s="16">
        <v>115.1853821152144</v>
      </c>
      <c r="D41" s="16">
        <v>110.83681297150443</v>
      </c>
      <c r="E41" s="16">
        <v>88.936386756833087</v>
      </c>
      <c r="F41" s="16">
        <v>101.27072906253952</v>
      </c>
      <c r="G41" s="16">
        <v>113.40658140090201</v>
      </c>
      <c r="H41" s="16">
        <v>105.52493309573163</v>
      </c>
      <c r="I41" s="16">
        <v>103.00885290607403</v>
      </c>
      <c r="J41" s="16">
        <v>105.23657881502083</v>
      </c>
      <c r="K41" s="16">
        <v>118.4236822201855</v>
      </c>
      <c r="L41" s="16">
        <v>115.20910746348784</v>
      </c>
      <c r="M41" s="16">
        <v>117.39229032763961</v>
      </c>
      <c r="N41" s="16">
        <v>127.32511232265556</v>
      </c>
      <c r="O41" s="16">
        <v>113.65160822151284</v>
      </c>
      <c r="P41" s="16">
        <v>126.78944216113838</v>
      </c>
      <c r="Q41" s="16">
        <v>122.36100423661122</v>
      </c>
      <c r="R41" s="40">
        <f t="shared" si="18"/>
        <v>121.24141161914238</v>
      </c>
      <c r="S41" s="17">
        <v>120.12181900167354</v>
      </c>
      <c r="T41" s="16">
        <v>119.57204651054994</v>
      </c>
      <c r="U41" s="16">
        <v>114.87459556125368</v>
      </c>
      <c r="V41" s="16">
        <v>110.53241122669665</v>
      </c>
      <c r="W41" s="16">
        <v>130.99514068845485</v>
      </c>
      <c r="X41" s="16">
        <v>123.90287936980458</v>
      </c>
      <c r="Y41" s="16">
        <v>105.66953817852867</v>
      </c>
      <c r="Z41" s="16">
        <v>121.34606316890287</v>
      </c>
      <c r="AA41" s="16">
        <v>110.18022172371457</v>
      </c>
      <c r="AB41" s="16">
        <v>118.92854560204466</v>
      </c>
      <c r="AC41" s="16">
        <v>103.26788919099621</v>
      </c>
      <c r="AD41" s="16">
        <v>122.36714148387072</v>
      </c>
      <c r="AE41" s="16">
        <v>112.12590061103694</v>
      </c>
      <c r="AF41" s="16">
        <v>119.93223887089533</v>
      </c>
      <c r="AG41" s="19">
        <v>109.7700495472955</v>
      </c>
      <c r="AH41" s="19">
        <v>106.24903777419246</v>
      </c>
      <c r="AI41" s="19">
        <v>104.85357833862118</v>
      </c>
      <c r="AJ41" s="19">
        <v>130.40532465389214</v>
      </c>
      <c r="AK41" s="19">
        <v>108.63603699880217</v>
      </c>
      <c r="AL41" s="19">
        <v>115.87059362410271</v>
      </c>
      <c r="AM41" s="19">
        <v>89.812355591519221</v>
      </c>
      <c r="AN41" s="19">
        <v>89.144255127762918</v>
      </c>
      <c r="AO41" s="19">
        <v>106.37916239500046</v>
      </c>
      <c r="AP41" s="19">
        <v>115.34236665188922</v>
      </c>
      <c r="AQ41" s="19">
        <v>80.710315770917148</v>
      </c>
      <c r="AR41" s="19">
        <v>97.568022226420382</v>
      </c>
      <c r="AS41" s="19">
        <v>103.33053078721993</v>
      </c>
      <c r="AT41" s="19">
        <v>107.97262752995502</v>
      </c>
      <c r="AU41" s="19">
        <v>97.893158195514587</v>
      </c>
      <c r="AV41" s="19">
        <v>101.84765070803303</v>
      </c>
      <c r="AW41" s="19">
        <v>85.98937458410974</v>
      </c>
      <c r="AX41" s="40">
        <f t="shared" si="19"/>
        <v>95.471070847634195</v>
      </c>
      <c r="AY41" s="40">
        <f t="shared" si="20"/>
        <v>100.21191897939643</v>
      </c>
      <c r="AZ41" s="40">
        <f t="shared" si="21"/>
        <v>102.58234304527755</v>
      </c>
      <c r="BA41" s="19">
        <v>104.95276711115866</v>
      </c>
      <c r="BB41" s="19">
        <v>141.30753533025319</v>
      </c>
      <c r="BC41" s="19">
        <v>135.70875875755101</v>
      </c>
      <c r="BD41" s="19">
        <v>98.443587850664898</v>
      </c>
      <c r="BE41" s="19">
        <v>124.92511060570536</v>
      </c>
      <c r="BF41" s="19">
        <v>124.92714780000001</v>
      </c>
      <c r="BG41" s="19">
        <v>135.13698999999997</v>
      </c>
      <c r="BH41" s="19">
        <v>125.06132437412808</v>
      </c>
      <c r="BI41" s="19">
        <v>141.8283362</v>
      </c>
      <c r="BJ41" s="19">
        <v>137.19142800000003</v>
      </c>
      <c r="BK41" s="19">
        <v>130.5429048</v>
      </c>
      <c r="BL41" s="19">
        <v>133.30000000000001</v>
      </c>
      <c r="BM41" s="19">
        <v>127.092</v>
      </c>
      <c r="BN41" s="19">
        <v>147.53314801838624</v>
      </c>
      <c r="BO41" s="19">
        <v>165.339</v>
      </c>
      <c r="BP41" s="19">
        <v>152.453</v>
      </c>
      <c r="BQ41" s="19">
        <v>87.516000000000005</v>
      </c>
      <c r="BR41" s="19">
        <v>125.69499999999999</v>
      </c>
      <c r="BS41" s="19">
        <v>167.32499999999999</v>
      </c>
      <c r="BT41" s="19">
        <v>164.35400000000001</v>
      </c>
      <c r="BU41" s="19">
        <v>168.44800000000001</v>
      </c>
      <c r="BV41" s="19">
        <v>158.11799999999999</v>
      </c>
      <c r="BW41" s="19">
        <v>126.358</v>
      </c>
      <c r="BX41" s="19">
        <v>161.84800000000001</v>
      </c>
      <c r="BY41" s="19">
        <v>214.447</v>
      </c>
      <c r="BZ41" s="19">
        <v>192.38499999999999</v>
      </c>
      <c r="CA41" s="19">
        <v>141.471</v>
      </c>
      <c r="CB41" s="19">
        <v>165.81700000000001</v>
      </c>
      <c r="CC41" s="19">
        <v>153.47499999999999</v>
      </c>
      <c r="CD41" s="19">
        <v>153.20699999999999</v>
      </c>
      <c r="CE41" s="19">
        <v>148.005</v>
      </c>
      <c r="CF41" s="19">
        <v>186.12799999999999</v>
      </c>
      <c r="CG41" s="19">
        <v>168.988</v>
      </c>
      <c r="CH41" s="19">
        <v>162.18600000000001</v>
      </c>
      <c r="CI41" s="19">
        <v>173.41900000000001</v>
      </c>
      <c r="CJ41" s="19">
        <v>181.059</v>
      </c>
    </row>
    <row r="42" spans="1:88" ht="20.149999999999999" customHeight="1" x14ac:dyDescent="0.25">
      <c r="A42" s="10" t="s">
        <v>62</v>
      </c>
      <c r="B42" s="16">
        <v>626.02826434318672</v>
      </c>
      <c r="C42" s="16">
        <v>597.78363775393768</v>
      </c>
      <c r="D42" s="16">
        <v>578.21193159026723</v>
      </c>
      <c r="E42" s="16">
        <v>599.24992616483814</v>
      </c>
      <c r="F42" s="16">
        <v>616.36904414457524</v>
      </c>
      <c r="G42" s="16">
        <v>636.94789072111041</v>
      </c>
      <c r="H42" s="16">
        <v>661.4016416427819</v>
      </c>
      <c r="I42" s="16">
        <v>675.82406733734501</v>
      </c>
      <c r="J42" s="16">
        <v>649.97071088361383</v>
      </c>
      <c r="K42" s="16">
        <v>698.49169457390667</v>
      </c>
      <c r="L42" s="16">
        <v>687.82782621984848</v>
      </c>
      <c r="M42" s="16">
        <v>676.20764610078766</v>
      </c>
      <c r="N42" s="16">
        <v>706.08132141461977</v>
      </c>
      <c r="O42" s="16">
        <v>718.67276213299465</v>
      </c>
      <c r="P42" s="16">
        <v>702.4572786549362</v>
      </c>
      <c r="Q42" s="16">
        <v>707.33439940686094</v>
      </c>
      <c r="R42" s="40">
        <f t="shared" si="18"/>
        <v>703.87278931088758</v>
      </c>
      <c r="S42" s="17">
        <v>700.41117921491434</v>
      </c>
      <c r="T42" s="16">
        <v>675.18371277450512</v>
      </c>
      <c r="U42" s="16">
        <v>651.84224404553458</v>
      </c>
      <c r="V42" s="16">
        <v>691.07185445210916</v>
      </c>
      <c r="W42" s="16">
        <v>666.98904360966071</v>
      </c>
      <c r="X42" s="16">
        <v>691.14893086374275</v>
      </c>
      <c r="Y42" s="16">
        <v>690.33396321237592</v>
      </c>
      <c r="Z42" s="16">
        <v>674.92630582494746</v>
      </c>
      <c r="AA42" s="16">
        <v>655.18084052746451</v>
      </c>
      <c r="AB42" s="16">
        <v>645.27635074036948</v>
      </c>
      <c r="AC42" s="16">
        <v>687.92929372485173</v>
      </c>
      <c r="AD42" s="16">
        <v>724.71526417692951</v>
      </c>
      <c r="AE42" s="16">
        <v>615.79775558166102</v>
      </c>
      <c r="AF42" s="16">
        <v>620.95346020989894</v>
      </c>
      <c r="AG42" s="19">
        <v>669.01938138043954</v>
      </c>
      <c r="AH42" s="19">
        <v>689.11477029299431</v>
      </c>
      <c r="AI42" s="19">
        <v>673.39284357191457</v>
      </c>
      <c r="AJ42" s="19">
        <v>654.486034112016</v>
      </c>
      <c r="AK42" s="19">
        <v>695.91694672530832</v>
      </c>
      <c r="AL42" s="19">
        <v>707.54536611888443</v>
      </c>
      <c r="AM42" s="19">
        <v>673.56489500913028</v>
      </c>
      <c r="AN42" s="19">
        <v>624.75060258705378</v>
      </c>
      <c r="AO42" s="19">
        <v>670.53417299763692</v>
      </c>
      <c r="AP42" s="19">
        <v>647.77982881733453</v>
      </c>
      <c r="AQ42" s="19">
        <v>637.59245793793775</v>
      </c>
      <c r="AR42" s="19">
        <v>594.65408919591812</v>
      </c>
      <c r="AS42" s="19">
        <v>639.15357370752247</v>
      </c>
      <c r="AT42" s="19">
        <v>633.42471446145964</v>
      </c>
      <c r="AU42" s="19">
        <v>608.9984261236666</v>
      </c>
      <c r="AV42" s="19">
        <v>596.41385575659297</v>
      </c>
      <c r="AW42" s="19">
        <v>657.8123041327093</v>
      </c>
      <c r="AX42" s="40">
        <f t="shared" si="19"/>
        <v>639.51346691027936</v>
      </c>
      <c r="AY42" s="40">
        <f t="shared" si="20"/>
        <v>630.36404829906439</v>
      </c>
      <c r="AZ42" s="40">
        <f t="shared" si="21"/>
        <v>625.78933899345691</v>
      </c>
      <c r="BA42" s="19">
        <v>621.21462968784942</v>
      </c>
      <c r="BB42" s="19">
        <v>664.76210214072069</v>
      </c>
      <c r="BC42" s="19">
        <v>672.61644065763403</v>
      </c>
      <c r="BD42" s="19">
        <v>596.02045342759709</v>
      </c>
      <c r="BE42" s="19">
        <v>626.63502355337414</v>
      </c>
      <c r="BF42" s="19">
        <v>655.4983344000002</v>
      </c>
      <c r="BG42" s="19">
        <v>665.44051999999999</v>
      </c>
      <c r="BH42" s="19">
        <v>634.91682652142208</v>
      </c>
      <c r="BI42" s="19">
        <v>638.48200770000005</v>
      </c>
      <c r="BJ42" s="19">
        <v>681.19896240000014</v>
      </c>
      <c r="BK42" s="19">
        <v>695.04231060000018</v>
      </c>
      <c r="BL42" s="19">
        <v>704.13900000000001</v>
      </c>
      <c r="BM42" s="19">
        <v>673.61099999999999</v>
      </c>
      <c r="BN42" s="19">
        <v>641.27430516950949</v>
      </c>
      <c r="BO42" s="19">
        <v>669.39800000000002</v>
      </c>
      <c r="BP42" s="19">
        <v>673.67399999999998</v>
      </c>
      <c r="BQ42" s="19">
        <v>336.4</v>
      </c>
      <c r="BR42" s="19">
        <v>435.52100000000002</v>
      </c>
      <c r="BS42" s="19">
        <v>502.322</v>
      </c>
      <c r="BT42" s="19">
        <v>452.77300000000002</v>
      </c>
      <c r="BU42" s="19">
        <v>486.38200000000001</v>
      </c>
      <c r="BV42" s="19">
        <v>599.97900000000004</v>
      </c>
      <c r="BW42" s="19">
        <v>537.01800000000003</v>
      </c>
      <c r="BX42" s="19">
        <v>564.65099999999995</v>
      </c>
      <c r="BY42" s="19">
        <v>633.62599999999998</v>
      </c>
      <c r="BZ42" s="19">
        <v>661.86900000000003</v>
      </c>
      <c r="CA42" s="19">
        <v>628.23</v>
      </c>
      <c r="CB42" s="19">
        <v>664.02</v>
      </c>
      <c r="CC42" s="19">
        <v>616.07100000000003</v>
      </c>
      <c r="CD42" s="19">
        <v>593.88400000000001</v>
      </c>
      <c r="CE42" s="19">
        <v>636.60199999999998</v>
      </c>
      <c r="CF42" s="19">
        <v>612.58199999999999</v>
      </c>
      <c r="CG42" s="19">
        <v>661.72299999999996</v>
      </c>
      <c r="CH42" s="19">
        <v>628.68399999999997</v>
      </c>
      <c r="CI42" s="19">
        <v>653.50199999999995</v>
      </c>
      <c r="CJ42" s="19">
        <v>609.31399999999996</v>
      </c>
    </row>
    <row r="43" spans="1:88" ht="20.149999999999999" customHeight="1" x14ac:dyDescent="0.25">
      <c r="A43" s="11" t="s">
        <v>153</v>
      </c>
      <c r="B43" s="16">
        <v>164.78789416666845</v>
      </c>
      <c r="C43" s="16">
        <v>197.54882593256337</v>
      </c>
      <c r="D43" s="16">
        <v>207.81902432157079</v>
      </c>
      <c r="E43" s="16">
        <v>210.65238561122817</v>
      </c>
      <c r="F43" s="16">
        <v>199.92673550052857</v>
      </c>
      <c r="G43" s="16">
        <v>201.29003986388432</v>
      </c>
      <c r="H43" s="16">
        <v>212.31925286458471</v>
      </c>
      <c r="I43" s="16">
        <v>241.20137912109078</v>
      </c>
      <c r="J43" s="16">
        <v>254.75669198647864</v>
      </c>
      <c r="K43" s="16">
        <v>225.28476140739804</v>
      </c>
      <c r="L43" s="16">
        <v>226.82036268397852</v>
      </c>
      <c r="M43" s="16">
        <v>250.31261255984452</v>
      </c>
      <c r="N43" s="16">
        <v>211.65717201215935</v>
      </c>
      <c r="O43" s="16">
        <v>229.81453517107511</v>
      </c>
      <c r="P43" s="16">
        <v>215.51660924772031</v>
      </c>
      <c r="Q43" s="16">
        <v>221.39002768441324</v>
      </c>
      <c r="R43" s="40">
        <f t="shared" si="18"/>
        <v>210.56459704290256</v>
      </c>
      <c r="S43" s="17">
        <v>199.73916640139191</v>
      </c>
      <c r="T43" s="16">
        <v>193.90091796071141</v>
      </c>
      <c r="U43" s="16">
        <v>188.28892668669315</v>
      </c>
      <c r="V43" s="16">
        <v>211.37987836576065</v>
      </c>
      <c r="W43" s="16">
        <v>218.80421903103564</v>
      </c>
      <c r="X43" s="16">
        <v>190.87812425169108</v>
      </c>
      <c r="Y43" s="16">
        <v>190.09165075038698</v>
      </c>
      <c r="Z43" s="16">
        <v>228.79111837883954</v>
      </c>
      <c r="AA43" s="16">
        <v>238.34449167452382</v>
      </c>
      <c r="AB43" s="16">
        <v>205.32806306144911</v>
      </c>
      <c r="AC43" s="16">
        <v>229.71101873642706</v>
      </c>
      <c r="AD43" s="16">
        <v>231.83431731542302</v>
      </c>
      <c r="AE43" s="16">
        <v>214.62919352985841</v>
      </c>
      <c r="AF43" s="16">
        <v>204.15971007056083</v>
      </c>
      <c r="AG43" s="19">
        <v>204.16584343197701</v>
      </c>
      <c r="AH43" s="19">
        <v>258.44413347299837</v>
      </c>
      <c r="AI43" s="19">
        <v>231.73264904497267</v>
      </c>
      <c r="AJ43" s="19">
        <v>209.33267160953693</v>
      </c>
      <c r="AK43" s="19">
        <v>215.98089449126397</v>
      </c>
      <c r="AL43" s="19">
        <v>245.69918417930359</v>
      </c>
      <c r="AM43" s="19">
        <v>199.85398872001227</v>
      </c>
      <c r="AN43" s="19">
        <v>211.58198701720136</v>
      </c>
      <c r="AO43" s="19">
        <v>222.42390174551238</v>
      </c>
      <c r="AP43" s="19">
        <v>253.28033545368308</v>
      </c>
      <c r="AQ43" s="19">
        <v>244.68715233653677</v>
      </c>
      <c r="AR43" s="19">
        <v>242.45197843440016</v>
      </c>
      <c r="AS43" s="19">
        <v>237.35893319405062</v>
      </c>
      <c r="AT43" s="19">
        <v>210.59097540091705</v>
      </c>
      <c r="AU43" s="19">
        <v>226.34830768364216</v>
      </c>
      <c r="AV43" s="19">
        <v>250.10094637857503</v>
      </c>
      <c r="AW43" s="19">
        <v>242.25609906598339</v>
      </c>
      <c r="AX43" s="40">
        <f t="shared" si="19"/>
        <v>208.76003629905182</v>
      </c>
      <c r="AY43" s="40">
        <f t="shared" si="20"/>
        <v>192.01200491558603</v>
      </c>
      <c r="AZ43" s="40">
        <f t="shared" si="21"/>
        <v>183.63798922385314</v>
      </c>
      <c r="BA43" s="19">
        <v>175.26397353212022</v>
      </c>
      <c r="BB43" s="19">
        <v>211.69313461096783</v>
      </c>
      <c r="BC43" s="19">
        <v>209.94286054238481</v>
      </c>
      <c r="BD43" s="19">
        <v>194.65740911321737</v>
      </c>
      <c r="BE43" s="19">
        <v>189.32097427244855</v>
      </c>
      <c r="BF43" s="19">
        <v>230.54017350000009</v>
      </c>
      <c r="BG43" s="19">
        <v>254.74320999999998</v>
      </c>
      <c r="BH43" s="19">
        <v>218.36839478165649</v>
      </c>
      <c r="BI43" s="19">
        <v>254.7947403</v>
      </c>
      <c r="BJ43" s="19">
        <v>220.12327260000006</v>
      </c>
      <c r="BK43" s="19">
        <v>261.26656380000009</v>
      </c>
      <c r="BL43" s="19">
        <v>243.58699999999999</v>
      </c>
      <c r="BM43" s="19">
        <v>220.143</v>
      </c>
      <c r="BN43" s="19">
        <v>237.44511742555446</v>
      </c>
      <c r="BO43" s="19">
        <v>274.62700000000001</v>
      </c>
      <c r="BP43" s="19">
        <v>266.024</v>
      </c>
      <c r="BQ43" s="19">
        <v>148.172</v>
      </c>
      <c r="BR43" s="19">
        <v>182.679</v>
      </c>
      <c r="BS43" s="19">
        <v>178.023</v>
      </c>
      <c r="BT43" s="19">
        <v>206.572</v>
      </c>
      <c r="BU43" s="19">
        <v>212.09899999999999</v>
      </c>
      <c r="BV43" s="19">
        <v>231.9</v>
      </c>
      <c r="BW43" s="19">
        <v>208.101</v>
      </c>
      <c r="BX43" s="19">
        <v>255.11500000000001</v>
      </c>
      <c r="BY43" s="19">
        <v>263.29500000000002</v>
      </c>
      <c r="BZ43" s="19">
        <v>279.25900000000001</v>
      </c>
      <c r="CA43" s="19">
        <v>251.53200000000001</v>
      </c>
      <c r="CB43" s="19">
        <v>310.32799999999997</v>
      </c>
      <c r="CC43" s="19">
        <v>279.10599999999999</v>
      </c>
      <c r="CD43" s="19">
        <v>271.52199999999999</v>
      </c>
      <c r="CE43" s="19">
        <v>225.53</v>
      </c>
      <c r="CF43" s="19">
        <v>211.98</v>
      </c>
      <c r="CG43" s="19">
        <v>236.108</v>
      </c>
      <c r="CH43" s="19">
        <v>249.547</v>
      </c>
      <c r="CI43" s="19">
        <v>283.75700000000001</v>
      </c>
      <c r="CJ43" s="19">
        <v>260.86399999999998</v>
      </c>
    </row>
    <row r="44" spans="1:88" ht="20.149999999999999" customHeight="1" x14ac:dyDescent="0.25">
      <c r="A44" s="10" t="s">
        <v>30</v>
      </c>
      <c r="B44" s="16">
        <v>5.2007779272074357</v>
      </c>
      <c r="C44" s="16">
        <v>4.6069649258955359</v>
      </c>
      <c r="D44" s="16">
        <v>1.2471175908871552</v>
      </c>
      <c r="E44" s="16">
        <v>5.5183193470206833</v>
      </c>
      <c r="F44" s="16">
        <v>2.9383723988505768</v>
      </c>
      <c r="G44" s="16">
        <v>3.8810433966536841</v>
      </c>
      <c r="H44" s="16">
        <v>9.8827894696085927</v>
      </c>
      <c r="I44" s="16">
        <v>5.1803805447040618</v>
      </c>
      <c r="J44" s="16">
        <v>5.8477840668939702</v>
      </c>
      <c r="K44" s="16">
        <v>8.4862107343834889</v>
      </c>
      <c r="L44" s="16">
        <v>5.7516476506324681</v>
      </c>
      <c r="M44" s="16">
        <v>6.7448094207759128</v>
      </c>
      <c r="N44" s="16">
        <v>6.2309797615020832</v>
      </c>
      <c r="O44" s="16">
        <v>4.6376833953247276</v>
      </c>
      <c r="P44" s="16">
        <v>3.2831879884550834</v>
      </c>
      <c r="Q44" s="16">
        <v>6.3238670207939514</v>
      </c>
      <c r="R44" s="40">
        <f t="shared" si="18"/>
        <v>5.3224088344105471</v>
      </c>
      <c r="S44" s="17">
        <v>4.3209506480271438</v>
      </c>
      <c r="T44" s="16">
        <v>3.2231660896430649</v>
      </c>
      <c r="U44" s="16">
        <v>4.3504487922950039</v>
      </c>
      <c r="V44" s="16">
        <v>1.6604213853127732</v>
      </c>
      <c r="W44" s="16">
        <v>4.774558761809045</v>
      </c>
      <c r="X44" s="16">
        <v>8.4704165856732327</v>
      </c>
      <c r="Y44" s="16">
        <v>1.7313019090563</v>
      </c>
      <c r="Z44" s="16">
        <v>3.5876528791787301</v>
      </c>
      <c r="AA44" s="16">
        <v>4.4263875011267775</v>
      </c>
      <c r="AB44" s="16">
        <v>6.441047868480215</v>
      </c>
      <c r="AC44" s="16">
        <v>7.4639410461899374</v>
      </c>
      <c r="AD44" s="16">
        <v>5.2029350169636164</v>
      </c>
      <c r="AE44" s="16">
        <v>4.2144974328565086</v>
      </c>
      <c r="AF44" s="16">
        <v>11.748409909363277</v>
      </c>
      <c r="AG44" s="19">
        <v>4.1680539496760689</v>
      </c>
      <c r="AH44" s="19">
        <v>4.4445681942339723</v>
      </c>
      <c r="AI44" s="19">
        <v>6.9020830340173163</v>
      </c>
      <c r="AJ44" s="19">
        <v>12.90882237804335</v>
      </c>
      <c r="AK44" s="19">
        <v>14.24309887312881</v>
      </c>
      <c r="AL44" s="19">
        <v>6.2785806090920202</v>
      </c>
      <c r="AM44" s="19">
        <v>8.2410622680751739</v>
      </c>
      <c r="AN44" s="19">
        <v>9.6460721518523851</v>
      </c>
      <c r="AO44" s="19">
        <v>22.922965727752821</v>
      </c>
      <c r="AP44" s="19">
        <v>12.536248631672013</v>
      </c>
      <c r="AQ44" s="19">
        <v>19.895846668602413</v>
      </c>
      <c r="AR44" s="19">
        <v>13.909854006494308</v>
      </c>
      <c r="AS44" s="19">
        <v>9.3843026825926916</v>
      </c>
      <c r="AT44" s="19">
        <v>18.355096105417186</v>
      </c>
      <c r="AU44" s="19">
        <v>9.9144614727036231</v>
      </c>
      <c r="AV44" s="19">
        <v>9.1938550817422069</v>
      </c>
      <c r="AW44" s="19">
        <v>10.846346039216133</v>
      </c>
      <c r="AX44" s="40">
        <f t="shared" si="19"/>
        <v>11.866473276289289</v>
      </c>
      <c r="AY44" s="40">
        <f t="shared" si="20"/>
        <v>12.376536894825868</v>
      </c>
      <c r="AZ44" s="40">
        <f t="shared" si="21"/>
        <v>12.631568704094157</v>
      </c>
      <c r="BA44" s="19">
        <v>12.886600513362445</v>
      </c>
      <c r="BB44" s="19">
        <v>9.7491857185841884</v>
      </c>
      <c r="BC44" s="19">
        <v>13.774492650516986</v>
      </c>
      <c r="BD44" s="19">
        <v>11.627362702892849</v>
      </c>
      <c r="BE44" s="19">
        <v>10.772658501427882</v>
      </c>
      <c r="BF44" s="19">
        <v>6.7050438000000021</v>
      </c>
      <c r="BG44" s="19">
        <v>8.7072099999999999</v>
      </c>
      <c r="BH44" s="19">
        <v>10.766200431637902</v>
      </c>
      <c r="BI44" s="19">
        <v>11.206860300000002</v>
      </c>
      <c r="BJ44" s="19">
        <v>14.186680200000003</v>
      </c>
      <c r="BK44" s="19">
        <v>13.274830800000004</v>
      </c>
      <c r="BL44" s="19">
        <v>6.36</v>
      </c>
      <c r="BM44" s="19">
        <v>13.436999999999999</v>
      </c>
      <c r="BN44" s="19">
        <v>18.46333134686272</v>
      </c>
      <c r="BO44" s="19">
        <v>17.552</v>
      </c>
      <c r="BP44" s="19">
        <v>16.091000000000001</v>
      </c>
      <c r="BQ44" s="19">
        <v>12.87</v>
      </c>
      <c r="BR44" s="19">
        <v>9.2119999999999997</v>
      </c>
      <c r="BS44" s="19">
        <v>5.3849999999999998</v>
      </c>
      <c r="BT44" s="19">
        <v>22.085999999999999</v>
      </c>
      <c r="BU44" s="19">
        <v>19.472000000000001</v>
      </c>
      <c r="BV44" s="19">
        <v>8.06</v>
      </c>
      <c r="BW44" s="19">
        <v>14.343999999999999</v>
      </c>
      <c r="BX44" s="19">
        <v>8.4269999999999996</v>
      </c>
      <c r="BY44" s="19">
        <v>8.9030000000000005</v>
      </c>
      <c r="BZ44" s="19">
        <v>15.795999999999999</v>
      </c>
      <c r="CA44" s="19">
        <v>13.736000000000001</v>
      </c>
      <c r="CB44" s="19">
        <v>17.63</v>
      </c>
      <c r="CC44" s="19">
        <v>23.923999999999999</v>
      </c>
      <c r="CD44" s="19">
        <v>20.998999999999999</v>
      </c>
      <c r="CE44" s="19">
        <v>11.459</v>
      </c>
      <c r="CF44" s="19">
        <v>9.6</v>
      </c>
      <c r="CG44" s="19">
        <v>8.9550000000000001</v>
      </c>
      <c r="CH44" s="19">
        <v>8.4269999999999996</v>
      </c>
      <c r="CI44" s="19">
        <v>11.598000000000001</v>
      </c>
      <c r="CJ44" s="19">
        <v>6.9039999999999999</v>
      </c>
    </row>
    <row r="45" spans="1:88" ht="20.149999999999999" customHeight="1" x14ac:dyDescent="0.25">
      <c r="A45" s="10" t="s">
        <v>31</v>
      </c>
      <c r="B45" s="16">
        <v>2.4860023523015018</v>
      </c>
      <c r="C45" s="16">
        <v>2.0808619627517491</v>
      </c>
      <c r="D45" s="16">
        <v>8.9261475204198923</v>
      </c>
      <c r="E45" s="16">
        <v>7.8202526715306977</v>
      </c>
      <c r="F45" s="16">
        <v>4.3054608776764711</v>
      </c>
      <c r="G45" s="16">
        <v>12.918417751578692</v>
      </c>
      <c r="H45" s="16">
        <v>10.462203063952748</v>
      </c>
      <c r="I45" s="16">
        <v>3.4198685765531551</v>
      </c>
      <c r="J45" s="16">
        <v>8.2472685177892213</v>
      </c>
      <c r="K45" s="16">
        <v>4.5725724304817206</v>
      </c>
      <c r="L45" s="16">
        <v>6.8116468170150544</v>
      </c>
      <c r="M45" s="16">
        <v>1.2837490718776894</v>
      </c>
      <c r="N45" s="16">
        <v>11.886683280217426</v>
      </c>
      <c r="O45" s="16">
        <v>12.371207868874087</v>
      </c>
      <c r="P45" s="16">
        <v>5.1452492217962345</v>
      </c>
      <c r="Q45" s="16">
        <v>11.952058037859249</v>
      </c>
      <c r="R45" s="40">
        <f t="shared" si="18"/>
        <v>11.417056960848701</v>
      </c>
      <c r="S45" s="17">
        <v>10.882055883838152</v>
      </c>
      <c r="T45" s="16">
        <v>9.2580950964408757</v>
      </c>
      <c r="U45" s="16">
        <v>12.432900225039152</v>
      </c>
      <c r="V45" s="16">
        <v>16.386620358665436</v>
      </c>
      <c r="W45" s="16">
        <v>7.9796787844108481</v>
      </c>
      <c r="X45" s="16">
        <v>5.2844647288909812</v>
      </c>
      <c r="Y45" s="16">
        <v>12.552193593734847</v>
      </c>
      <c r="Z45" s="16">
        <v>13.467716548437345</v>
      </c>
      <c r="AA45" s="16">
        <v>10.00859363299258</v>
      </c>
      <c r="AB45" s="16">
        <v>7.7035177646809032</v>
      </c>
      <c r="AC45" s="16">
        <v>10.762270708284012</v>
      </c>
      <c r="AD45" s="16">
        <v>5.9647641418924477</v>
      </c>
      <c r="AE45" s="16">
        <v>7.0634035187539261</v>
      </c>
      <c r="AF45" s="16">
        <v>13.098366584199946</v>
      </c>
      <c r="AG45" s="19">
        <v>4.3302989666873568</v>
      </c>
      <c r="AH45" s="19">
        <v>18.392203182293983</v>
      </c>
      <c r="AI45" s="19">
        <v>10.702245134214854</v>
      </c>
      <c r="AJ45" s="19">
        <v>15.362064129856288</v>
      </c>
      <c r="AK45" s="19">
        <v>17.733913267561494</v>
      </c>
      <c r="AL45" s="19">
        <v>5.4810395135517673</v>
      </c>
      <c r="AM45" s="19">
        <v>8.233862138784545</v>
      </c>
      <c r="AN45" s="19">
        <v>9.4193966686855894</v>
      </c>
      <c r="AO45" s="19">
        <v>17.659655396712697</v>
      </c>
      <c r="AP45" s="19">
        <v>30.400041567365406</v>
      </c>
      <c r="AQ45" s="19">
        <v>24.076784156729207</v>
      </c>
      <c r="AR45" s="19">
        <v>14.145271743366044</v>
      </c>
      <c r="AS45" s="19">
        <v>13.847006520759237</v>
      </c>
      <c r="AT45" s="19">
        <v>25.00935717918253</v>
      </c>
      <c r="AU45" s="19">
        <v>11.218685583709719</v>
      </c>
      <c r="AV45" s="19">
        <v>11.033629246490184</v>
      </c>
      <c r="AW45" s="19">
        <v>13.857717258749124</v>
      </c>
      <c r="AX45" s="40">
        <f t="shared" si="19"/>
        <v>30.875632045081833</v>
      </c>
      <c r="AY45" s="40">
        <f t="shared" si="20"/>
        <v>39.384589438248184</v>
      </c>
      <c r="AZ45" s="40">
        <f t="shared" si="21"/>
        <v>43.639068134831362</v>
      </c>
      <c r="BA45" s="27">
        <v>47.89354683141454</v>
      </c>
      <c r="BB45" s="27">
        <v>49.938012958344679</v>
      </c>
      <c r="BC45" s="27">
        <v>20.416326113550049</v>
      </c>
      <c r="BD45" s="27">
        <v>53.501246133914776</v>
      </c>
      <c r="BE45" s="27">
        <v>33.165342593074683</v>
      </c>
      <c r="BF45" s="27">
        <v>43.276724400000013</v>
      </c>
      <c r="BG45" s="27">
        <v>37.62451999999999</v>
      </c>
      <c r="BH45" s="27">
        <v>37.589657326126805</v>
      </c>
      <c r="BI45" s="27">
        <v>42.726849200000004</v>
      </c>
      <c r="BJ45" s="27">
        <v>46.07313480000002</v>
      </c>
      <c r="BK45" s="27">
        <v>32.47112880000001</v>
      </c>
      <c r="BL45" s="27">
        <v>35.594999999999999</v>
      </c>
      <c r="BM45" s="27">
        <v>35.927999999999997</v>
      </c>
      <c r="BN45" s="27">
        <v>32.055395243250757</v>
      </c>
      <c r="BO45" s="27">
        <v>32.992999999999483</v>
      </c>
      <c r="BP45" s="27">
        <v>26.709</v>
      </c>
      <c r="BQ45" s="27">
        <v>17.38</v>
      </c>
      <c r="BR45" s="27">
        <v>33.997999999999998</v>
      </c>
      <c r="BS45" s="27">
        <v>31.899000000000001</v>
      </c>
      <c r="BT45" s="27">
        <v>15.147</v>
      </c>
      <c r="BU45" s="27">
        <v>36.822000000000003</v>
      </c>
      <c r="BV45" s="27">
        <v>40.570999999999998</v>
      </c>
      <c r="BW45" s="27">
        <v>33.095999999999997</v>
      </c>
      <c r="BX45" s="27">
        <v>42.927999999999997</v>
      </c>
      <c r="BY45" s="27">
        <v>52.395000000000003</v>
      </c>
      <c r="BZ45" s="27">
        <v>53.323</v>
      </c>
      <c r="CA45" s="27">
        <v>45.901000000000003</v>
      </c>
      <c r="CB45" s="27">
        <v>41.145000000000003</v>
      </c>
      <c r="CC45" s="27">
        <v>11.944000000000001</v>
      </c>
      <c r="CD45" s="27">
        <v>37.115000000000002</v>
      </c>
      <c r="CE45" s="27">
        <v>17.062000000000001</v>
      </c>
      <c r="CF45" s="27">
        <v>60.896000000000001</v>
      </c>
      <c r="CG45" s="27">
        <v>44.167999999999999</v>
      </c>
      <c r="CH45" s="27">
        <v>22.785</v>
      </c>
      <c r="CI45" s="27">
        <v>45.247999999999998</v>
      </c>
      <c r="CJ45" s="27">
        <v>20.783999999999999</v>
      </c>
    </row>
    <row r="46" spans="1:88" ht="20.149999999999999" customHeight="1" thickBot="1" x14ac:dyDescent="0.3">
      <c r="A46" s="7" t="s">
        <v>32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18"/>
      <c r="Z46" s="18"/>
      <c r="AA46" s="18"/>
      <c r="AB46" s="18"/>
      <c r="AC46" s="18"/>
      <c r="AD46" s="18"/>
      <c r="AE46" s="18"/>
      <c r="AF46" s="1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7"/>
      <c r="AY46" s="7"/>
      <c r="AZ46" s="28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</row>
    <row r="47" spans="1:88" ht="20.149999999999999" customHeight="1" x14ac:dyDescent="0.25">
      <c r="A47" s="10" t="s">
        <v>45</v>
      </c>
      <c r="B47" s="16">
        <v>1539.8654439612885</v>
      </c>
      <c r="C47" s="16">
        <v>1622.7048791782249</v>
      </c>
      <c r="D47" s="16">
        <v>1594.1000868698184</v>
      </c>
      <c r="E47" s="16">
        <v>1641.9135819262019</v>
      </c>
      <c r="F47" s="16">
        <v>1671.7664546841954</v>
      </c>
      <c r="G47" s="16">
        <v>1730.4620127467695</v>
      </c>
      <c r="H47" s="16">
        <v>1690.2589904874008</v>
      </c>
      <c r="I47" s="16">
        <v>1661.4543049028944</v>
      </c>
      <c r="J47" s="16">
        <v>1696.4559714690911</v>
      </c>
      <c r="K47" s="16">
        <v>1731.6799094330265</v>
      </c>
      <c r="L47" s="16">
        <v>1650.6624506582655</v>
      </c>
      <c r="M47" s="16">
        <v>1718.346324566417</v>
      </c>
      <c r="N47" s="16">
        <v>1715.8660357478848</v>
      </c>
      <c r="O47" s="16">
        <v>1759.4558346186384</v>
      </c>
      <c r="P47" s="16">
        <v>1711.7715039542197</v>
      </c>
      <c r="Q47" s="16">
        <v>1689.2805723554432</v>
      </c>
      <c r="R47" s="40">
        <f t="shared" ref="R47:R50" si="22">+(Q47+S47)/2</f>
        <v>1704.255202006786</v>
      </c>
      <c r="S47" s="17">
        <v>1719.2298316581291</v>
      </c>
      <c r="T47" s="16">
        <v>1595.7841471876786</v>
      </c>
      <c r="U47" s="16">
        <v>1621.1362490195929</v>
      </c>
      <c r="V47" s="16">
        <v>1653.1808092657357</v>
      </c>
      <c r="W47" s="16">
        <v>1701.274650648844</v>
      </c>
      <c r="X47" s="16">
        <v>1653.9030575717379</v>
      </c>
      <c r="Y47" s="16">
        <v>1689.0057652427629</v>
      </c>
      <c r="Z47" s="16">
        <v>1662.4147620765771</v>
      </c>
      <c r="AA47" s="16">
        <v>1701.521105869298</v>
      </c>
      <c r="AB47" s="16">
        <v>1634.1467535705042</v>
      </c>
      <c r="AC47" s="16">
        <v>1687.5297743910594</v>
      </c>
      <c r="AD47" s="16">
        <v>1737.5328290239247</v>
      </c>
      <c r="AE47" s="16">
        <v>1605.7296640083462</v>
      </c>
      <c r="AF47" s="16">
        <v>1618.562231685941</v>
      </c>
      <c r="AG47" s="19">
        <v>1740.1168283995246</v>
      </c>
      <c r="AH47" s="19">
        <v>1646.7680473571361</v>
      </c>
      <c r="AI47" s="19">
        <v>1600.1143793435829</v>
      </c>
      <c r="AJ47" s="19">
        <v>1527.0812995961317</v>
      </c>
      <c r="AK47" s="19">
        <v>1666.4538852672817</v>
      </c>
      <c r="AL47" s="19">
        <v>1807.6751977217398</v>
      </c>
      <c r="AM47" s="19">
        <v>1711.6044490695372</v>
      </c>
      <c r="AN47" s="19">
        <v>1541.580807979364</v>
      </c>
      <c r="AO47" s="19">
        <v>1707.1038072460851</v>
      </c>
      <c r="AP47" s="19">
        <v>1738.3343426694692</v>
      </c>
      <c r="AQ47" s="19">
        <v>1633.6379528114196</v>
      </c>
      <c r="AR47" s="19">
        <v>1569.0733615218562</v>
      </c>
      <c r="AS47" s="19">
        <v>1583.784936276269</v>
      </c>
      <c r="AT47" s="19">
        <v>1604.6511531145013</v>
      </c>
      <c r="AU47" s="19">
        <v>1637.4261659656324</v>
      </c>
      <c r="AV47" s="19">
        <v>1541.8962695447281</v>
      </c>
      <c r="AW47" s="19">
        <v>1567.037038983608</v>
      </c>
      <c r="AX47" s="40">
        <f t="shared" ref="AX47:AX50" si="23">+(AW47+BA47)/2</f>
        <v>1582.8791644175121</v>
      </c>
      <c r="AY47" s="40">
        <f t="shared" ref="AY47:AY50" si="24">+(AX47+BA47)/2</f>
        <v>1590.800227134464</v>
      </c>
      <c r="AZ47" s="40">
        <f t="shared" ref="AZ47:AZ50" si="25">+(AY47+BA47)/2</f>
        <v>1594.7607584929401</v>
      </c>
      <c r="BA47" s="19">
        <v>1598.721289851416</v>
      </c>
      <c r="BB47" s="19">
        <v>1691.682065583205</v>
      </c>
      <c r="BC47" s="19">
        <v>1658.3341529837862</v>
      </c>
      <c r="BD47" s="19">
        <v>1616.2853626592916</v>
      </c>
      <c r="BE47" s="19">
        <v>1675.2406994584935</v>
      </c>
      <c r="BF47" s="19">
        <v>1707.5447571000007</v>
      </c>
      <c r="BG47" s="19">
        <v>1736.4546199999997</v>
      </c>
      <c r="BH47" s="19">
        <v>1609.1837364035184</v>
      </c>
      <c r="BI47" s="19">
        <v>1707.2167618999999</v>
      </c>
      <c r="BJ47" s="19">
        <v>1787.4823230000004</v>
      </c>
      <c r="BK47" s="19">
        <v>1828.4872716000007</v>
      </c>
      <c r="BL47" s="19">
        <v>1718.0730000000001</v>
      </c>
      <c r="BM47" s="19">
        <v>1798.325</v>
      </c>
      <c r="BN47" s="19">
        <v>1746.3691663972352</v>
      </c>
      <c r="BO47" s="19">
        <v>1802.566</v>
      </c>
      <c r="BP47" s="19">
        <v>1764.528</v>
      </c>
      <c r="BQ47" s="19">
        <v>970.94299999999998</v>
      </c>
      <c r="BR47" s="19">
        <v>1248.153</v>
      </c>
      <c r="BS47" s="19">
        <v>1543.86</v>
      </c>
      <c r="BT47" s="19">
        <v>1511.9169999999999</v>
      </c>
      <c r="BU47" s="19">
        <v>1464.5650000000001</v>
      </c>
      <c r="BV47" s="19">
        <v>1593.1469999999999</v>
      </c>
      <c r="BW47" s="19">
        <v>1622.5509999999999</v>
      </c>
      <c r="BX47" s="19">
        <v>1712.0709999999999</v>
      </c>
      <c r="BY47" s="19">
        <v>1905.08</v>
      </c>
      <c r="BZ47" s="19">
        <v>1857.066</v>
      </c>
      <c r="CA47" s="19">
        <v>1798.191</v>
      </c>
      <c r="CB47" s="19">
        <v>1845.617</v>
      </c>
      <c r="CC47" s="19">
        <v>1866.2809999999999</v>
      </c>
      <c r="CD47" s="19">
        <v>1885.126</v>
      </c>
      <c r="CE47" s="19">
        <v>1857.1310000000001</v>
      </c>
      <c r="CF47" s="19">
        <v>1764.8689999999999</v>
      </c>
      <c r="CG47" s="19">
        <v>1889.2260000000001</v>
      </c>
      <c r="CH47" s="19">
        <v>2008.2929999999999</v>
      </c>
      <c r="CI47" s="19">
        <v>1908.42</v>
      </c>
      <c r="CJ47" s="19">
        <v>1832.2809999999999</v>
      </c>
    </row>
    <row r="48" spans="1:88" ht="20.149999999999999" customHeight="1" x14ac:dyDescent="0.25">
      <c r="A48" s="10" t="s">
        <v>46</v>
      </c>
      <c r="B48" s="16">
        <v>622.10658292280755</v>
      </c>
      <c r="C48" s="16">
        <v>561.67510439340822</v>
      </c>
      <c r="D48" s="16">
        <v>641.08049242810546</v>
      </c>
      <c r="E48" s="16">
        <v>624.68027460589326</v>
      </c>
      <c r="F48" s="16">
        <v>608.54325386063169</v>
      </c>
      <c r="G48" s="16">
        <v>707.17147767778181</v>
      </c>
      <c r="H48" s="16">
        <v>650.70398782494374</v>
      </c>
      <c r="I48" s="16">
        <v>719.52420452007641</v>
      </c>
      <c r="J48" s="16">
        <v>693.76309277249015</v>
      </c>
      <c r="K48" s="16">
        <v>752.29781637185442</v>
      </c>
      <c r="L48" s="16">
        <v>739.1543172560124</v>
      </c>
      <c r="M48" s="16">
        <v>761.8168933126185</v>
      </c>
      <c r="N48" s="16">
        <v>763.6564641175662</v>
      </c>
      <c r="O48" s="16">
        <v>719.98768416163841</v>
      </c>
      <c r="P48" s="16">
        <v>736.24400975440653</v>
      </c>
      <c r="Q48" s="16">
        <v>735.78926942836756</v>
      </c>
      <c r="R48" s="40">
        <f t="shared" si="22"/>
        <v>713.34941165824159</v>
      </c>
      <c r="S48" s="17">
        <v>690.90955388811562</v>
      </c>
      <c r="T48" s="16">
        <v>688.15459452636526</v>
      </c>
      <c r="U48" s="16">
        <v>619.88309980129657</v>
      </c>
      <c r="V48" s="16">
        <v>610.73816652228288</v>
      </c>
      <c r="W48" s="16">
        <v>801.58675958584126</v>
      </c>
      <c r="X48" s="16">
        <v>707.63768265943838</v>
      </c>
      <c r="Y48" s="16">
        <v>595.69523325370278</v>
      </c>
      <c r="Z48" s="16">
        <v>676.06000005673127</v>
      </c>
      <c r="AA48" s="16">
        <v>676.87411782902257</v>
      </c>
      <c r="AB48" s="16">
        <v>667.12136989089061</v>
      </c>
      <c r="AC48" s="16">
        <v>710.76191688958056</v>
      </c>
      <c r="AD48" s="16">
        <v>675.06138925186997</v>
      </c>
      <c r="AE48" s="16">
        <v>709.17083169124089</v>
      </c>
      <c r="AF48" s="16">
        <v>726.46807991595415</v>
      </c>
      <c r="AG48" s="19">
        <v>651.33775512779789</v>
      </c>
      <c r="AH48" s="19">
        <v>733.8052017101669</v>
      </c>
      <c r="AI48" s="19">
        <v>760.81922866946729</v>
      </c>
      <c r="AJ48" s="19">
        <v>696.66719206177527</v>
      </c>
      <c r="AK48" s="19">
        <v>640.6853287026961</v>
      </c>
      <c r="AL48" s="19">
        <v>662.47607214771017</v>
      </c>
      <c r="AM48" s="19">
        <v>689.18403262030358</v>
      </c>
      <c r="AN48" s="19">
        <v>652.34834266261089</v>
      </c>
      <c r="AO48" s="19">
        <v>645.69502367349151</v>
      </c>
      <c r="AP48" s="19">
        <v>658.01366973622203</v>
      </c>
      <c r="AQ48" s="19">
        <v>623.46156110991535</v>
      </c>
      <c r="AR48" s="19">
        <v>636.28766544285679</v>
      </c>
      <c r="AS48" s="19">
        <v>628.2342772485332</v>
      </c>
      <c r="AT48" s="19">
        <v>608.65590897043842</v>
      </c>
      <c r="AU48" s="19">
        <v>695.88698296953964</v>
      </c>
      <c r="AV48" s="19">
        <v>644.37337758998228</v>
      </c>
      <c r="AW48" s="19">
        <v>623.78561256828561</v>
      </c>
      <c r="AX48" s="40">
        <f t="shared" si="23"/>
        <v>652.0197761609495</v>
      </c>
      <c r="AY48" s="40">
        <f t="shared" si="24"/>
        <v>666.13685795728134</v>
      </c>
      <c r="AZ48" s="40">
        <f t="shared" si="25"/>
        <v>673.19539885544737</v>
      </c>
      <c r="BA48" s="19">
        <v>680.25393975361328</v>
      </c>
      <c r="BB48" s="19">
        <v>655.18292505829197</v>
      </c>
      <c r="BC48" s="19">
        <v>688.33905602890968</v>
      </c>
      <c r="BD48" s="19">
        <v>643.42929738655141</v>
      </c>
      <c r="BE48" s="19">
        <v>703.76056018851489</v>
      </c>
      <c r="BF48" s="19">
        <v>738.8416854000003</v>
      </c>
      <c r="BG48" s="19">
        <v>743.67713999999978</v>
      </c>
      <c r="BH48" s="19">
        <v>708.86393676685566</v>
      </c>
      <c r="BI48" s="19">
        <v>695.25757580000004</v>
      </c>
      <c r="BJ48" s="19">
        <v>735.21821340000008</v>
      </c>
      <c r="BK48" s="19">
        <v>660.51118980000024</v>
      </c>
      <c r="BL48" s="19">
        <v>737.904</v>
      </c>
      <c r="BM48" s="19">
        <v>697.94500000000005</v>
      </c>
      <c r="BN48" s="19">
        <v>719.6965364785367</v>
      </c>
      <c r="BO48" s="19">
        <v>722.35599999999999</v>
      </c>
      <c r="BP48" s="19">
        <v>740.57299999999998</v>
      </c>
      <c r="BQ48" s="19">
        <v>365.79300000000001</v>
      </c>
      <c r="BR48" s="19">
        <v>447.28199999999998</v>
      </c>
      <c r="BS48" s="19">
        <v>548.64700000000005</v>
      </c>
      <c r="BT48" s="19">
        <v>619.04700000000003</v>
      </c>
      <c r="BU48" s="19">
        <v>616.43899999999996</v>
      </c>
      <c r="BV48" s="19">
        <v>642.02300000000002</v>
      </c>
      <c r="BW48" s="19">
        <v>729.22699999999998</v>
      </c>
      <c r="BX48" s="19">
        <v>777.39800000000002</v>
      </c>
      <c r="BY48" s="19">
        <v>766.63099999999997</v>
      </c>
      <c r="BZ48" s="19">
        <v>739.51499999999999</v>
      </c>
      <c r="CA48" s="19">
        <v>749.81500000000005</v>
      </c>
      <c r="CB48" s="19">
        <v>796.49900000000002</v>
      </c>
      <c r="CC48" s="19">
        <v>782.2</v>
      </c>
      <c r="CD48" s="19">
        <v>806.54499999999996</v>
      </c>
      <c r="CE48" s="19">
        <v>793.06899999999996</v>
      </c>
      <c r="CF48" s="19">
        <v>789.80499999999995</v>
      </c>
      <c r="CG48" s="19">
        <v>840.64400000000001</v>
      </c>
      <c r="CH48" s="19">
        <v>735.30100000000004</v>
      </c>
      <c r="CI48" s="19">
        <v>834.721</v>
      </c>
      <c r="CJ48" s="19">
        <v>880.13499999999999</v>
      </c>
    </row>
    <row r="49" spans="1:88" ht="20.149999999999999" customHeight="1" x14ac:dyDescent="0.25">
      <c r="A49" s="10" t="s">
        <v>47</v>
      </c>
      <c r="B49" s="16">
        <v>228.81491016944059</v>
      </c>
      <c r="C49" s="16">
        <v>250.2561484962138</v>
      </c>
      <c r="D49" s="16">
        <v>217.72577653825113</v>
      </c>
      <c r="E49" s="16">
        <v>224.8574958608838</v>
      </c>
      <c r="F49" s="16">
        <v>250.35075775015753</v>
      </c>
      <c r="G49" s="16">
        <v>247.11659914938485</v>
      </c>
      <c r="H49" s="16">
        <v>265.12880956322761</v>
      </c>
      <c r="I49" s="16">
        <v>246.60961466805696</v>
      </c>
      <c r="J49" s="16">
        <v>301.57580095669749</v>
      </c>
      <c r="K49" s="16">
        <v>256.38481253251217</v>
      </c>
      <c r="L49" s="16">
        <v>251.09997643995143</v>
      </c>
      <c r="M49" s="16">
        <v>265.04394076724611</v>
      </c>
      <c r="N49" s="16">
        <v>269.31825229091754</v>
      </c>
      <c r="O49" s="16">
        <v>273.29307026149485</v>
      </c>
      <c r="P49" s="16">
        <v>251.4674670391795</v>
      </c>
      <c r="Q49" s="16">
        <v>263.70981159682657</v>
      </c>
      <c r="R49" s="40">
        <f t="shared" si="22"/>
        <v>241.7326105376452</v>
      </c>
      <c r="S49" s="17">
        <v>219.75540947846383</v>
      </c>
      <c r="T49" s="16">
        <v>249.04621184928783</v>
      </c>
      <c r="U49" s="16">
        <v>238.7354472763399</v>
      </c>
      <c r="V49" s="16">
        <v>230.42642667542313</v>
      </c>
      <c r="W49" s="16">
        <v>244.40543368533767</v>
      </c>
      <c r="X49" s="16">
        <v>262.14610579966705</v>
      </c>
      <c r="Y49" s="16">
        <v>248.51977839104038</v>
      </c>
      <c r="Z49" s="16">
        <v>223.23581274125934</v>
      </c>
      <c r="AA49" s="16">
        <v>254.97277382902178</v>
      </c>
      <c r="AB49" s="16">
        <v>253.40916777330594</v>
      </c>
      <c r="AC49" s="16">
        <v>268.09846231380351</v>
      </c>
      <c r="AD49" s="16">
        <v>244.18310726527613</v>
      </c>
      <c r="AE49" s="16">
        <v>246.54861166294046</v>
      </c>
      <c r="AF49" s="16">
        <v>208.57495881600843</v>
      </c>
      <c r="AG49" s="19">
        <v>266.94953067936416</v>
      </c>
      <c r="AH49" s="19">
        <v>237.27844569564448</v>
      </c>
      <c r="AI49" s="19">
        <v>270.30377943486383</v>
      </c>
      <c r="AJ49" s="19">
        <v>269.26024726101093</v>
      </c>
      <c r="AK49" s="19">
        <v>240.22523318999845</v>
      </c>
      <c r="AL49" s="19">
        <v>231.91796182092824</v>
      </c>
      <c r="AM49" s="19">
        <v>247.38409934725715</v>
      </c>
      <c r="AN49" s="19">
        <v>222.84569784438037</v>
      </c>
      <c r="AO49" s="19">
        <v>236.18304979999877</v>
      </c>
      <c r="AP49" s="19">
        <v>250.41316674587938</v>
      </c>
      <c r="AQ49" s="19">
        <v>263.79811884849306</v>
      </c>
      <c r="AR49" s="19">
        <v>222.27374829248848</v>
      </c>
      <c r="AS49" s="19">
        <v>244.59805201550401</v>
      </c>
      <c r="AT49" s="19">
        <v>249.090270792452</v>
      </c>
      <c r="AU49" s="19">
        <v>255.17990231497589</v>
      </c>
      <c r="AV49" s="19">
        <v>192.64562179518333</v>
      </c>
      <c r="AW49" s="19">
        <v>231.64417114565305</v>
      </c>
      <c r="AX49" s="40">
        <f t="shared" si="23"/>
        <v>218.8418125541551</v>
      </c>
      <c r="AY49" s="40">
        <f t="shared" si="24"/>
        <v>212.44063325840614</v>
      </c>
      <c r="AZ49" s="40">
        <f t="shared" si="25"/>
        <v>209.24004361053164</v>
      </c>
      <c r="BA49" s="19">
        <v>206.03945396265715</v>
      </c>
      <c r="BB49" s="19">
        <v>214.88788023205666</v>
      </c>
      <c r="BC49" s="19">
        <v>230.70630670436094</v>
      </c>
      <c r="BD49" s="19">
        <v>212.43787544083781</v>
      </c>
      <c r="BE49" s="19">
        <v>227.63306315958496</v>
      </c>
      <c r="BF49" s="19">
        <v>242.19167700000006</v>
      </c>
      <c r="BG49" s="19">
        <v>236.94700999999998</v>
      </c>
      <c r="BH49" s="19">
        <v>255.61065954007748</v>
      </c>
      <c r="BI49" s="19">
        <v>284.51811710000004</v>
      </c>
      <c r="BJ49" s="19">
        <v>215.04902760000004</v>
      </c>
      <c r="BK49" s="19">
        <v>263.83953420000012</v>
      </c>
      <c r="BL49" s="19">
        <v>272.15800000000002</v>
      </c>
      <c r="BM49" s="19">
        <v>246.227</v>
      </c>
      <c r="BN49" s="19">
        <v>286.03197706592749</v>
      </c>
      <c r="BO49" s="19">
        <v>266.39</v>
      </c>
      <c r="BP49" s="19">
        <v>280.98</v>
      </c>
      <c r="BQ49" s="19">
        <v>185.88399999999999</v>
      </c>
      <c r="BR49" s="19">
        <v>227.07599999999999</v>
      </c>
      <c r="BS49" s="19">
        <v>252.666</v>
      </c>
      <c r="BT49" s="19">
        <v>261.96100000000001</v>
      </c>
      <c r="BU49" s="19">
        <v>279.82600000000002</v>
      </c>
      <c r="BV49" s="19">
        <v>225.85499999999999</v>
      </c>
      <c r="BW49" s="19">
        <v>258.3</v>
      </c>
      <c r="BX49" s="19">
        <v>281.93700000000001</v>
      </c>
      <c r="BY49" s="19">
        <v>328.15800000000002</v>
      </c>
      <c r="BZ49" s="19">
        <v>302.09500000000003</v>
      </c>
      <c r="CA49" s="19">
        <v>308.88600000000002</v>
      </c>
      <c r="CB49" s="19">
        <v>354.98099999999999</v>
      </c>
      <c r="CC49" s="19">
        <v>329.565</v>
      </c>
      <c r="CD49" s="19">
        <v>299.089</v>
      </c>
      <c r="CE49" s="19">
        <v>310.91500000000002</v>
      </c>
      <c r="CF49" s="19">
        <v>347.351</v>
      </c>
      <c r="CG49" s="19">
        <v>335.495</v>
      </c>
      <c r="CH49" s="19">
        <v>342.27199999999999</v>
      </c>
      <c r="CI49" s="19">
        <v>354.21300000000002</v>
      </c>
      <c r="CJ49" s="19">
        <v>387.928</v>
      </c>
    </row>
    <row r="50" spans="1:88" ht="20.149999999999999" customHeight="1" x14ac:dyDescent="0.25">
      <c r="A50" s="10" t="s">
        <v>31</v>
      </c>
      <c r="B50" s="16">
        <v>204.34227597003573</v>
      </c>
      <c r="C50" s="16">
        <v>225.23667490177027</v>
      </c>
      <c r="D50" s="16">
        <v>171.25487929348046</v>
      </c>
      <c r="E50" s="16">
        <v>241.32172225186551</v>
      </c>
      <c r="F50" s="16">
        <v>221.06811050504521</v>
      </c>
      <c r="G50" s="16">
        <v>223.9866841195649</v>
      </c>
      <c r="H50" s="16">
        <v>225.81058106222005</v>
      </c>
      <c r="I50" s="16">
        <v>222.47333276924056</v>
      </c>
      <c r="J50" s="16">
        <v>229.3190871040668</v>
      </c>
      <c r="K50" s="16">
        <v>231.32174576149214</v>
      </c>
      <c r="L50" s="16">
        <v>208.79423193277088</v>
      </c>
      <c r="M50" s="16">
        <v>170.45050076963878</v>
      </c>
      <c r="N50" s="16">
        <v>187.30246302711578</v>
      </c>
      <c r="O50" s="16">
        <v>244.40632014841395</v>
      </c>
      <c r="P50" s="16">
        <v>191.42638209933392</v>
      </c>
      <c r="Q50" s="16">
        <v>247.72344031463695</v>
      </c>
      <c r="R50" s="40">
        <f t="shared" si="22"/>
        <v>269.80824831154797</v>
      </c>
      <c r="S50" s="17">
        <v>291.89305630845899</v>
      </c>
      <c r="T50" s="16">
        <v>240.09692308478878</v>
      </c>
      <c r="U50" s="16">
        <v>232.50528776636557</v>
      </c>
      <c r="V50" s="16">
        <v>220.02972816665209</v>
      </c>
      <c r="W50" s="16">
        <v>168.07364046025816</v>
      </c>
      <c r="X50" s="16">
        <v>137.01323926367743</v>
      </c>
      <c r="Y50" s="16">
        <v>199.78347679925952</v>
      </c>
      <c r="Z50" s="16">
        <v>199.35788773891628</v>
      </c>
      <c r="AA50" s="16">
        <v>160.98319419573889</v>
      </c>
      <c r="AB50" s="16">
        <v>137.84822997690338</v>
      </c>
      <c r="AC50" s="16">
        <v>201.66959155028897</v>
      </c>
      <c r="AD50" s="16">
        <v>172.9996344928991</v>
      </c>
      <c r="AE50" s="16">
        <v>149.81478863277076</v>
      </c>
      <c r="AF50" s="16">
        <v>148.6139567295935</v>
      </c>
      <c r="AG50" s="19">
        <v>146.75575222269157</v>
      </c>
      <c r="AH50" s="19">
        <v>195.99085466595923</v>
      </c>
      <c r="AI50" s="19">
        <v>179.75899573584817</v>
      </c>
      <c r="AJ50" s="19">
        <v>185.69991315797765</v>
      </c>
      <c r="AK50" s="19">
        <v>221.26084128531892</v>
      </c>
      <c r="AL50" s="19">
        <v>223.0874552579362</v>
      </c>
      <c r="AM50" s="19">
        <v>232.35948669750996</v>
      </c>
      <c r="AN50" s="19">
        <v>180.84685218599472</v>
      </c>
      <c r="AO50" s="19">
        <v>242.2351339821403</v>
      </c>
      <c r="AP50" s="19">
        <v>246.94923047843906</v>
      </c>
      <c r="AQ50" s="19">
        <v>265.8758625575914</v>
      </c>
      <c r="AR50" s="19">
        <v>238.34984962882402</v>
      </c>
      <c r="AS50" s="19">
        <v>194.80694188217478</v>
      </c>
      <c r="AT50" s="19">
        <v>239.31284696739087</v>
      </c>
      <c r="AU50" s="19">
        <v>216.17834467728125</v>
      </c>
      <c r="AV50" s="19">
        <v>224.04015410704406</v>
      </c>
      <c r="AW50" s="19">
        <v>283.25522698701042</v>
      </c>
      <c r="AX50" s="40">
        <f t="shared" si="23"/>
        <v>278.45101686225109</v>
      </c>
      <c r="AY50" s="40">
        <f t="shared" si="24"/>
        <v>276.04891179987146</v>
      </c>
      <c r="AZ50" s="40">
        <f t="shared" si="25"/>
        <v>274.84785926868165</v>
      </c>
      <c r="BA50" s="19">
        <v>273.64680673749177</v>
      </c>
      <c r="BB50" s="19">
        <v>293.24769411339861</v>
      </c>
      <c r="BC50" s="19">
        <v>262.38126412619118</v>
      </c>
      <c r="BD50" s="19">
        <v>264.72711596106899</v>
      </c>
      <c r="BE50" s="19">
        <v>211.74493024475314</v>
      </c>
      <c r="BF50" s="19">
        <v>234.38663430000008</v>
      </c>
      <c r="BG50" s="19">
        <v>230.10728999999995</v>
      </c>
      <c r="BH50" s="19">
        <v>243.75675417422644</v>
      </c>
      <c r="BI50" s="19">
        <v>186.8042327</v>
      </c>
      <c r="BJ50" s="19">
        <v>198.48628800000006</v>
      </c>
      <c r="BK50" s="19">
        <v>261.29382840000011</v>
      </c>
      <c r="BL50" s="19">
        <v>277.25299999999999</v>
      </c>
      <c r="BM50" s="19">
        <v>225.80600000000001</v>
      </c>
      <c r="BN50" s="19">
        <v>216.02513676590621</v>
      </c>
      <c r="BO50" s="19">
        <v>277.79700000000003</v>
      </c>
      <c r="BP50" s="19">
        <v>266.71199999999999</v>
      </c>
      <c r="BQ50" s="19">
        <v>128.16900000000001</v>
      </c>
      <c r="BR50" s="19">
        <v>167.96600000000001</v>
      </c>
      <c r="BS50" s="19">
        <v>210.52</v>
      </c>
      <c r="BT50" s="19">
        <v>266.00200000000001</v>
      </c>
      <c r="BU50" s="19">
        <v>228.34399999999999</v>
      </c>
      <c r="BV50" s="19">
        <v>334.27499999999998</v>
      </c>
      <c r="BW50" s="19">
        <v>307.91399999999999</v>
      </c>
      <c r="BX50" s="19">
        <v>377.75400000000002</v>
      </c>
      <c r="BY50" s="19">
        <v>412.25700000000001</v>
      </c>
      <c r="BZ50" s="19">
        <v>378.51799999999997</v>
      </c>
      <c r="CA50" s="19">
        <v>362.94299999999998</v>
      </c>
      <c r="CB50" s="19">
        <v>391.99700000000001</v>
      </c>
      <c r="CC50" s="19">
        <v>411.44200000000001</v>
      </c>
      <c r="CD50" s="19">
        <v>398.20100000000002</v>
      </c>
      <c r="CE50" s="19">
        <v>321.678</v>
      </c>
      <c r="CF50" s="19">
        <v>357.41300000000001</v>
      </c>
      <c r="CG50" s="19">
        <v>289.7</v>
      </c>
      <c r="CH50" s="19">
        <v>301.82</v>
      </c>
      <c r="CI50" s="19">
        <v>348.83600000000001</v>
      </c>
      <c r="CJ50" s="19">
        <v>323.35199999999998</v>
      </c>
    </row>
    <row r="51" spans="1:88" ht="20.149999999999999" customHeight="1" thickBot="1" x14ac:dyDescent="0.3">
      <c r="A51" s="7" t="s">
        <v>33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18"/>
      <c r="Z51" s="18"/>
      <c r="AA51" s="18"/>
      <c r="AB51" s="18"/>
      <c r="AC51" s="18"/>
      <c r="AD51" s="18"/>
      <c r="AE51" s="18"/>
      <c r="AF51" s="1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7"/>
      <c r="AY51" s="7"/>
      <c r="AZ51" s="28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</row>
    <row r="52" spans="1:88" ht="20.149999999999999" customHeight="1" x14ac:dyDescent="0.25">
      <c r="A52" s="10" t="s">
        <v>34</v>
      </c>
      <c r="B52" s="16">
        <v>106.19202884708834</v>
      </c>
      <c r="C52" s="16">
        <v>129.68360859285283</v>
      </c>
      <c r="D52" s="16">
        <v>130.92236402045998</v>
      </c>
      <c r="E52" s="16">
        <v>122.41730305726783</v>
      </c>
      <c r="F52" s="16">
        <v>111.43027435075246</v>
      </c>
      <c r="G52" s="16">
        <v>128.93111522886545</v>
      </c>
      <c r="H52" s="16">
        <v>118.12373816335099</v>
      </c>
      <c r="I52" s="16">
        <v>125.08572276208633</v>
      </c>
      <c r="J52" s="16">
        <v>144.14614294717046</v>
      </c>
      <c r="K52" s="16">
        <v>124.88510780944692</v>
      </c>
      <c r="L52" s="16">
        <v>120.24293494575913</v>
      </c>
      <c r="M52" s="16">
        <v>126.36980435415238</v>
      </c>
      <c r="N52" s="16">
        <v>115.12370894492159</v>
      </c>
      <c r="O52" s="16">
        <v>143.26381299850527</v>
      </c>
      <c r="P52" s="16">
        <v>131.19150782346205</v>
      </c>
      <c r="Q52" s="16">
        <v>115.48894803890174</v>
      </c>
      <c r="R52" s="40">
        <f t="shared" ref="R52:R55" si="26">+(Q52+S52)/2</f>
        <v>125.70370427675587</v>
      </c>
      <c r="S52" s="17">
        <v>135.91846051460999</v>
      </c>
      <c r="T52" s="16">
        <v>124.3617927850183</v>
      </c>
      <c r="U52" s="16">
        <v>108.2203521910981</v>
      </c>
      <c r="V52" s="16">
        <v>103.62007196094042</v>
      </c>
      <c r="W52" s="16">
        <v>122.82590631606186</v>
      </c>
      <c r="X52" s="16">
        <v>107.19083845687456</v>
      </c>
      <c r="Y52" s="16">
        <v>119.53073231832649</v>
      </c>
      <c r="Z52" s="16">
        <v>126.21721082484811</v>
      </c>
      <c r="AA52" s="16">
        <v>91.832628351330882</v>
      </c>
      <c r="AB52" s="16">
        <v>114.5882818393309</v>
      </c>
      <c r="AC52" s="16">
        <v>110.67226459408498</v>
      </c>
      <c r="AD52" s="16">
        <v>117.70404446327728</v>
      </c>
      <c r="AE52" s="16">
        <v>126.61772675046139</v>
      </c>
      <c r="AF52" s="16">
        <v>112.27296402639527</v>
      </c>
      <c r="AG52" s="19">
        <v>113.47266083119401</v>
      </c>
      <c r="AH52" s="19">
        <v>119.41340726795177</v>
      </c>
      <c r="AI52" s="19">
        <v>126.19772933719852</v>
      </c>
      <c r="AJ52" s="19">
        <v>117.26297790121873</v>
      </c>
      <c r="AK52" s="19">
        <v>110.66124270155647</v>
      </c>
      <c r="AL52" s="19">
        <v>110.31672900820473</v>
      </c>
      <c r="AM52" s="19">
        <v>102.83375031419908</v>
      </c>
      <c r="AN52" s="19">
        <v>108.48802954706038</v>
      </c>
      <c r="AO52" s="19">
        <v>122.28541783222869</v>
      </c>
      <c r="AP52" s="19">
        <v>108.70609092309151</v>
      </c>
      <c r="AQ52" s="19">
        <v>83.247652434000841</v>
      </c>
      <c r="AR52" s="19">
        <v>90.904199187660055</v>
      </c>
      <c r="AS52" s="19">
        <v>101.85423360259607</v>
      </c>
      <c r="AT52" s="19">
        <v>99.235543933651371</v>
      </c>
      <c r="AU52" s="19">
        <v>91.555041611141476</v>
      </c>
      <c r="AV52" s="19">
        <v>98.209698971086453</v>
      </c>
      <c r="AW52" s="19">
        <v>78.536779813587771</v>
      </c>
      <c r="AX52" s="40">
        <f t="shared" ref="AX52:AX55" si="27">+(AW52+BA52)/2</f>
        <v>85.629341451454039</v>
      </c>
      <c r="AY52" s="40">
        <f t="shared" ref="AY52:AY55" si="28">+(AX52+BA52)/2</f>
        <v>89.17562227038718</v>
      </c>
      <c r="AZ52" s="40">
        <f t="shared" ref="AZ52:AZ55" si="29">+(AY52+BA52)/2</f>
        <v>90.948762679853743</v>
      </c>
      <c r="BA52" s="19">
        <v>92.721903089320307</v>
      </c>
      <c r="BB52" s="19">
        <v>100.94316226502004</v>
      </c>
      <c r="BC52" s="19">
        <v>120.58802535391864</v>
      </c>
      <c r="BD52" s="19">
        <v>74.201676187531305</v>
      </c>
      <c r="BE52" s="19">
        <v>114.56075320033433</v>
      </c>
      <c r="BF52" s="19">
        <v>117.27969376689772</v>
      </c>
      <c r="BG52" s="19">
        <v>117.71022465567241</v>
      </c>
      <c r="BH52" s="19">
        <v>110.44863462663844</v>
      </c>
      <c r="BI52" s="19">
        <v>127.22952425742605</v>
      </c>
      <c r="BJ52" s="19">
        <v>115.78256120019333</v>
      </c>
      <c r="BK52" s="19">
        <v>128.91227447926386</v>
      </c>
      <c r="BL52" s="19">
        <v>126.4433460034298</v>
      </c>
      <c r="BM52" s="19">
        <v>136.3195878647561</v>
      </c>
      <c r="BN52" s="19">
        <v>151.17477503381787</v>
      </c>
      <c r="BO52" s="19">
        <v>135.69143817125246</v>
      </c>
      <c r="BP52" s="19">
        <v>134.54677045822964</v>
      </c>
      <c r="BQ52" s="19">
        <v>86.527359402661062</v>
      </c>
      <c r="BR52" s="19">
        <v>105.88072875310448</v>
      </c>
      <c r="BS52" s="19">
        <v>117.28875937608568</v>
      </c>
      <c r="BT52" s="19">
        <v>139.09306513171842</v>
      </c>
      <c r="BU52" s="19">
        <v>140.20801843085098</v>
      </c>
      <c r="BV52" s="19">
        <v>160.04775300531045</v>
      </c>
      <c r="BW52" s="19">
        <v>91.92277380417832</v>
      </c>
      <c r="BX52" s="19">
        <v>116.40596977376259</v>
      </c>
      <c r="BY52" s="19">
        <v>139.65661200646491</v>
      </c>
      <c r="BZ52" s="19">
        <v>143.48295258335253</v>
      </c>
      <c r="CA52" s="19">
        <v>144.95039916842055</v>
      </c>
      <c r="CB52" s="19">
        <v>125.32011193808955</v>
      </c>
      <c r="CC52" s="19">
        <v>135.19986772436886</v>
      </c>
      <c r="CD52" s="19">
        <v>164.46093740410842</v>
      </c>
      <c r="CE52" s="19">
        <v>153.53503004582873</v>
      </c>
      <c r="CF52" s="19">
        <v>147.24937528509031</v>
      </c>
      <c r="CG52" s="19">
        <v>146.8645500761092</v>
      </c>
      <c r="CH52" s="19">
        <v>176.01859119532762</v>
      </c>
      <c r="CI52" s="19">
        <v>209.89926774969632</v>
      </c>
      <c r="CJ52" s="19">
        <v>166.56753101998081</v>
      </c>
    </row>
    <row r="53" spans="1:88" ht="20.149999999999999" customHeight="1" x14ac:dyDescent="0.25">
      <c r="A53" s="10" t="s">
        <v>35</v>
      </c>
      <c r="B53" s="16">
        <v>176.15299536209469</v>
      </c>
      <c r="C53" s="16">
        <v>200.45476307940899</v>
      </c>
      <c r="D53" s="16">
        <v>186.77005172629751</v>
      </c>
      <c r="E53" s="16">
        <v>224.9457365087913</v>
      </c>
      <c r="F53" s="16">
        <v>164.9123470690964</v>
      </c>
      <c r="G53" s="16">
        <v>179.9062184569905</v>
      </c>
      <c r="H53" s="16">
        <v>178.73677902449813</v>
      </c>
      <c r="I53" s="16">
        <v>181.38884238011295</v>
      </c>
      <c r="J53" s="16">
        <v>224.79072389333706</v>
      </c>
      <c r="K53" s="16">
        <v>175.68197865117276</v>
      </c>
      <c r="L53" s="16">
        <v>176.18741944911704</v>
      </c>
      <c r="M53" s="16">
        <v>202.01061463652925</v>
      </c>
      <c r="N53" s="16">
        <v>196.16143280834353</v>
      </c>
      <c r="O53" s="16">
        <v>204.27646705859868</v>
      </c>
      <c r="P53" s="16">
        <v>187.61795187364433</v>
      </c>
      <c r="Q53" s="16">
        <v>227.15033093865327</v>
      </c>
      <c r="R53" s="40">
        <f t="shared" si="26"/>
        <v>212.64737011036351</v>
      </c>
      <c r="S53" s="17">
        <v>198.14440928207372</v>
      </c>
      <c r="T53" s="16">
        <v>200.88544830073675</v>
      </c>
      <c r="U53" s="16">
        <v>168.70548985273101</v>
      </c>
      <c r="V53" s="16">
        <v>180.4148707401265</v>
      </c>
      <c r="W53" s="16">
        <v>208.9350990631896</v>
      </c>
      <c r="X53" s="16">
        <v>175.23464180830874</v>
      </c>
      <c r="Y53" s="16">
        <v>167.84951572645576</v>
      </c>
      <c r="Z53" s="16">
        <v>196.47331213527349</v>
      </c>
      <c r="AA53" s="16">
        <v>199.12799032144142</v>
      </c>
      <c r="AB53" s="16">
        <v>190.55098991915077</v>
      </c>
      <c r="AC53" s="16">
        <v>226.35658323406773</v>
      </c>
      <c r="AD53" s="16">
        <v>165.81567922477657</v>
      </c>
      <c r="AE53" s="16">
        <v>183.85203432110549</v>
      </c>
      <c r="AF53" s="16">
        <v>190.01736458518764</v>
      </c>
      <c r="AG53" s="19">
        <v>192.62149140154375</v>
      </c>
      <c r="AH53" s="19">
        <v>200.99641926422723</v>
      </c>
      <c r="AI53" s="19">
        <v>197.83992447992333</v>
      </c>
      <c r="AJ53" s="19">
        <v>186.2954113489256</v>
      </c>
      <c r="AK53" s="19">
        <v>190.70046002322414</v>
      </c>
      <c r="AL53" s="19">
        <v>219.51253329887953</v>
      </c>
      <c r="AM53" s="19">
        <v>222.48743477616944</v>
      </c>
      <c r="AN53" s="19">
        <v>186.08469224006456</v>
      </c>
      <c r="AO53" s="19">
        <v>188.34242385539414</v>
      </c>
      <c r="AP53" s="19">
        <v>212.39934872258311</v>
      </c>
      <c r="AQ53" s="19">
        <v>207.14303653580546</v>
      </c>
      <c r="AR53" s="19">
        <v>207.3768587368092</v>
      </c>
      <c r="AS53" s="19">
        <v>196.32857390842713</v>
      </c>
      <c r="AT53" s="19">
        <v>189.54242954725933</v>
      </c>
      <c r="AU53" s="19">
        <v>217.9958947092147</v>
      </c>
      <c r="AV53" s="19">
        <v>179.82441561792871</v>
      </c>
      <c r="AW53" s="19">
        <v>192.04770879777101</v>
      </c>
      <c r="AX53" s="40">
        <f t="shared" si="27"/>
        <v>192.16464211656245</v>
      </c>
      <c r="AY53" s="40">
        <f t="shared" si="28"/>
        <v>192.22310877595817</v>
      </c>
      <c r="AZ53" s="40">
        <f t="shared" si="29"/>
        <v>192.25234210565606</v>
      </c>
      <c r="BA53" s="19">
        <v>192.28157543535391</v>
      </c>
      <c r="BB53" s="19">
        <v>212.82198813220094</v>
      </c>
      <c r="BC53" s="19">
        <v>206.61621874910767</v>
      </c>
      <c r="BD53" s="19">
        <v>185.74372941326132</v>
      </c>
      <c r="BE53" s="19">
        <v>210.38956093548256</v>
      </c>
      <c r="BF53" s="19">
        <v>194.9522607303027</v>
      </c>
      <c r="BG53" s="19">
        <v>239.35635078245744</v>
      </c>
      <c r="BH53" s="19">
        <v>212.53406889549626</v>
      </c>
      <c r="BI53" s="19">
        <v>236.2013332313436</v>
      </c>
      <c r="BJ53" s="19">
        <v>191.40376899833674</v>
      </c>
      <c r="BK53" s="19">
        <v>244.69538090260971</v>
      </c>
      <c r="BL53" s="19">
        <v>225.56977636190129</v>
      </c>
      <c r="BM53" s="19">
        <v>245.95962039749284</v>
      </c>
      <c r="BN53" s="19">
        <v>230.05835221443999</v>
      </c>
      <c r="BO53" s="19">
        <v>260.64097055786488</v>
      </c>
      <c r="BP53" s="19">
        <v>233.06286699023417</v>
      </c>
      <c r="BQ53" s="19">
        <v>158.32486380258698</v>
      </c>
      <c r="BR53" s="19">
        <v>143.73852559364096</v>
      </c>
      <c r="BS53" s="19">
        <v>158.22223165754275</v>
      </c>
      <c r="BT53" s="19">
        <v>207.61398986998094</v>
      </c>
      <c r="BU53" s="19">
        <v>237.57565138599858</v>
      </c>
      <c r="BV53" s="19">
        <v>233.01364057697623</v>
      </c>
      <c r="BW53" s="19">
        <v>242.26641071902972</v>
      </c>
      <c r="BX53" s="19">
        <v>237.75190665914036</v>
      </c>
      <c r="BY53" s="19">
        <v>269.79053871144339</v>
      </c>
      <c r="BZ53" s="19">
        <v>239.67301040558337</v>
      </c>
      <c r="CA53" s="19">
        <v>235.91819041529402</v>
      </c>
      <c r="CB53" s="19">
        <v>258.80057515022912</v>
      </c>
      <c r="CC53" s="19">
        <v>280.58248866955228</v>
      </c>
      <c r="CD53" s="19">
        <v>231.57098013149999</v>
      </c>
      <c r="CE53" s="19">
        <v>274.20000674611697</v>
      </c>
      <c r="CF53" s="19">
        <v>288.08853558078272</v>
      </c>
      <c r="CG53" s="19">
        <v>301.99156183671397</v>
      </c>
      <c r="CH53" s="19">
        <v>305.66131012304794</v>
      </c>
      <c r="CI53" s="19">
        <v>309.06674103357983</v>
      </c>
      <c r="CJ53" s="19">
        <v>287.9711788379048</v>
      </c>
    </row>
    <row r="54" spans="1:88" ht="20.149999999999999" customHeight="1" x14ac:dyDescent="0.25">
      <c r="A54" s="10" t="s">
        <v>36</v>
      </c>
      <c r="B54" s="16">
        <v>1019.0882103867797</v>
      </c>
      <c r="C54" s="16">
        <v>1021.0745698107509</v>
      </c>
      <c r="D54" s="16">
        <v>1051.2188039333507</v>
      </c>
      <c r="E54" s="16">
        <v>1112.0820892315314</v>
      </c>
      <c r="F54" s="16">
        <v>1191.0021413019149</v>
      </c>
      <c r="G54" s="16">
        <v>1216.9922687861786</v>
      </c>
      <c r="H54" s="16">
        <v>1126.2155584937232</v>
      </c>
      <c r="I54" s="16">
        <v>1185.3798849280929</v>
      </c>
      <c r="J54" s="16">
        <v>1164.793948457758</v>
      </c>
      <c r="K54" s="16">
        <v>1236.3361454150722</v>
      </c>
      <c r="L54" s="16">
        <v>1172.0033477434681</v>
      </c>
      <c r="M54" s="16">
        <v>1229.8188357442968</v>
      </c>
      <c r="N54" s="16">
        <v>1229.8498757307759</v>
      </c>
      <c r="O54" s="16">
        <v>1246.9044253728841</v>
      </c>
      <c r="P54" s="16">
        <v>1193.8802216128888</v>
      </c>
      <c r="Q54" s="16">
        <v>1205.997237118175</v>
      </c>
      <c r="R54" s="40">
        <f t="shared" si="26"/>
        <v>1178.5282701929582</v>
      </c>
      <c r="S54" s="17">
        <v>1151.0593032677416</v>
      </c>
      <c r="T54" s="16">
        <v>1098.4018327564788</v>
      </c>
      <c r="U54" s="16">
        <v>1109.0719809447428</v>
      </c>
      <c r="V54" s="16">
        <v>1109.5907525733874</v>
      </c>
      <c r="W54" s="16">
        <v>1253.9550556089116</v>
      </c>
      <c r="X54" s="16">
        <v>1144.6709860700166</v>
      </c>
      <c r="Y54" s="16">
        <v>1052.2155931563334</v>
      </c>
      <c r="Z54" s="16">
        <v>1065.9799923037585</v>
      </c>
      <c r="AA54" s="16">
        <v>1140.0219216629798</v>
      </c>
      <c r="AB54" s="16">
        <v>1024.8083688056768</v>
      </c>
      <c r="AC54" s="16">
        <v>1107.7951926945341</v>
      </c>
      <c r="AD54" s="16">
        <v>1087.3284932776198</v>
      </c>
      <c r="AE54" s="16">
        <v>1044.9479359093764</v>
      </c>
      <c r="AF54" s="16">
        <v>1109.2082028718912</v>
      </c>
      <c r="AG54" s="19">
        <v>1105.1769715399898</v>
      </c>
      <c r="AH54" s="19">
        <v>1139.0426566301728</v>
      </c>
      <c r="AI54" s="19">
        <v>1151.1598409823168</v>
      </c>
      <c r="AJ54" s="19">
        <v>1101.358461415756</v>
      </c>
      <c r="AK54" s="19">
        <v>1053.0067932610189</v>
      </c>
      <c r="AL54" s="19">
        <v>1128.5907288915996</v>
      </c>
      <c r="AM54" s="19">
        <v>1254.7450169969313</v>
      </c>
      <c r="AN54" s="19">
        <v>993.23975807084207</v>
      </c>
      <c r="AO54" s="19">
        <v>1185.3103823455513</v>
      </c>
      <c r="AP54" s="19">
        <v>1292.7552411124088</v>
      </c>
      <c r="AQ54" s="19">
        <v>1225.826239929848</v>
      </c>
      <c r="AR54" s="19">
        <v>1169.8799917228216</v>
      </c>
      <c r="AS54" s="19">
        <v>1083.5980178623136</v>
      </c>
      <c r="AT54" s="19">
        <v>1111.6599673435699</v>
      </c>
      <c r="AU54" s="19">
        <v>1164.6184170066692</v>
      </c>
      <c r="AV54" s="19">
        <v>1106.7781754910152</v>
      </c>
      <c r="AW54" s="19">
        <v>1166.9742677595832</v>
      </c>
      <c r="AX54" s="40">
        <f t="shared" si="27"/>
        <v>1178.3088882823427</v>
      </c>
      <c r="AY54" s="40">
        <f t="shared" si="28"/>
        <v>1183.9761985437221</v>
      </c>
      <c r="AZ54" s="40">
        <f t="shared" si="29"/>
        <v>1186.8098536744119</v>
      </c>
      <c r="BA54" s="19">
        <v>1189.6435088051019</v>
      </c>
      <c r="BB54" s="19">
        <v>1165.2239244333136</v>
      </c>
      <c r="BC54" s="19">
        <v>1104.1988068528638</v>
      </c>
      <c r="BD54" s="19">
        <v>1186.6790083095918</v>
      </c>
      <c r="BE54" s="19">
        <v>1190.4052237709097</v>
      </c>
      <c r="BF54" s="19">
        <v>1216.1165932246622</v>
      </c>
      <c r="BG54" s="19">
        <v>1182.7271524753312</v>
      </c>
      <c r="BH54" s="19">
        <v>1156.4859042384837</v>
      </c>
      <c r="BI54" s="19">
        <v>1170.3572692683249</v>
      </c>
      <c r="BJ54" s="19">
        <v>1186.6884973638892</v>
      </c>
      <c r="BK54" s="19">
        <v>1186.2234014148198</v>
      </c>
      <c r="BL54" s="19">
        <v>1202.7529861189189</v>
      </c>
      <c r="BM54" s="19">
        <v>1196.0908695846585</v>
      </c>
      <c r="BN54" s="19">
        <v>1181.0462219890176</v>
      </c>
      <c r="BO54" s="19">
        <v>1226.3095637729398</v>
      </c>
      <c r="BP54" s="19">
        <v>1221.1236914650544</v>
      </c>
      <c r="BQ54" s="19">
        <v>647.47367745075667</v>
      </c>
      <c r="BR54" s="19">
        <v>917.65548466211453</v>
      </c>
      <c r="BS54" s="19">
        <v>1093.2358414353801</v>
      </c>
      <c r="BT54" s="19">
        <v>1141.6477383915051</v>
      </c>
      <c r="BU54" s="19">
        <v>1106.8375013352891</v>
      </c>
      <c r="BV54" s="19">
        <v>1188.2736017288328</v>
      </c>
      <c r="BW54" s="19">
        <v>1364.4299385141421</v>
      </c>
      <c r="BX54" s="19">
        <v>1484.6347315786199</v>
      </c>
      <c r="BY54" s="19">
        <v>1554.8403099932748</v>
      </c>
      <c r="BZ54" s="19">
        <v>1477.6103525007625</v>
      </c>
      <c r="CA54" s="19">
        <v>1458.4288190677169</v>
      </c>
      <c r="CB54" s="19">
        <v>1601.431167454218</v>
      </c>
      <c r="CC54" s="19">
        <v>1615.70605642541</v>
      </c>
      <c r="CD54" s="19">
        <v>1640.8859049557607</v>
      </c>
      <c r="CE54" s="19">
        <v>1627.4899775528731</v>
      </c>
      <c r="CF54" s="19">
        <v>1631.8343911170959</v>
      </c>
      <c r="CG54" s="19">
        <v>1606.5170050956003</v>
      </c>
      <c r="CH54" s="19">
        <v>1616.6432242725266</v>
      </c>
      <c r="CI54" s="19">
        <v>1635.1504395547861</v>
      </c>
      <c r="CJ54" s="19">
        <v>1676.615391748797</v>
      </c>
    </row>
    <row r="55" spans="1:88" ht="20.149999999999999" customHeight="1" x14ac:dyDescent="0.25">
      <c r="A55" s="10" t="s">
        <v>37</v>
      </c>
      <c r="B55" s="16">
        <v>1293.6959784276096</v>
      </c>
      <c r="C55" s="16">
        <v>1308.6598654866043</v>
      </c>
      <c r="D55" s="16">
        <v>1255.2500154495469</v>
      </c>
      <c r="E55" s="16">
        <v>1273.3279458472541</v>
      </c>
      <c r="F55" s="16">
        <v>1284.3838140782659</v>
      </c>
      <c r="G55" s="16">
        <v>1382.9071712214663</v>
      </c>
      <c r="H55" s="16">
        <v>1408.8262932562202</v>
      </c>
      <c r="I55" s="16">
        <v>1358.2070067899765</v>
      </c>
      <c r="J55" s="16">
        <v>1387.3831370040796</v>
      </c>
      <c r="K55" s="16">
        <v>1434.7810522231935</v>
      </c>
      <c r="L55" s="16">
        <v>1381.2772741486563</v>
      </c>
      <c r="M55" s="16">
        <v>1357.4584046809423</v>
      </c>
      <c r="N55" s="16">
        <v>1395.0081976994434</v>
      </c>
      <c r="O55" s="16">
        <v>1402.6982037601972</v>
      </c>
      <c r="P55" s="16">
        <v>1378.2196815371447</v>
      </c>
      <c r="Q55" s="16">
        <v>1387.8665775995437</v>
      </c>
      <c r="R55" s="40">
        <f t="shared" si="26"/>
        <v>1412.266127934143</v>
      </c>
      <c r="S55" s="17">
        <v>1436.6656782687423</v>
      </c>
      <c r="T55" s="16">
        <v>1349.4328028058867</v>
      </c>
      <c r="U55" s="16">
        <v>1326.262260875023</v>
      </c>
      <c r="V55" s="16">
        <v>1320.7494353556394</v>
      </c>
      <c r="W55" s="16">
        <v>1329.6244233921179</v>
      </c>
      <c r="X55" s="16">
        <v>1333.6036189593208</v>
      </c>
      <c r="Y55" s="16">
        <v>1393.4084124856499</v>
      </c>
      <c r="Z55" s="16">
        <v>1372.397947349604</v>
      </c>
      <c r="AA55" s="16">
        <v>1363.3686513873292</v>
      </c>
      <c r="AB55" s="16">
        <v>1362.5778806474455</v>
      </c>
      <c r="AC55" s="16">
        <v>1423.2357046220457</v>
      </c>
      <c r="AD55" s="16">
        <v>1458.9287430682959</v>
      </c>
      <c r="AE55" s="16">
        <v>1355.8461990143551</v>
      </c>
      <c r="AF55" s="16">
        <v>1290.720695664023</v>
      </c>
      <c r="AG55" s="19">
        <v>1393.8887426566505</v>
      </c>
      <c r="AH55" s="19">
        <v>1354.3900662665549</v>
      </c>
      <c r="AI55" s="19">
        <v>1335.7988883843236</v>
      </c>
      <c r="AJ55" s="19">
        <v>1273.7918014109957</v>
      </c>
      <c r="AK55" s="19">
        <v>1414.2567924594957</v>
      </c>
      <c r="AL55" s="19">
        <v>1466.7366957496308</v>
      </c>
      <c r="AM55" s="19">
        <v>1300.4658656473084</v>
      </c>
      <c r="AN55" s="19">
        <v>1309.8092208143833</v>
      </c>
      <c r="AO55" s="19">
        <v>1335.2787906685414</v>
      </c>
      <c r="AP55" s="19">
        <v>1279.8497288719259</v>
      </c>
      <c r="AQ55" s="19">
        <v>1270.5565664277649</v>
      </c>
      <c r="AR55" s="19">
        <v>1197.8235752387345</v>
      </c>
      <c r="AS55" s="19">
        <v>1269.6433820491443</v>
      </c>
      <c r="AT55" s="19">
        <v>1301.2722390203021</v>
      </c>
      <c r="AU55" s="19">
        <v>1330.5020426004039</v>
      </c>
      <c r="AV55" s="19">
        <v>1218.1431329569073</v>
      </c>
      <c r="AW55" s="19">
        <v>1268.163293313615</v>
      </c>
      <c r="AX55" s="40">
        <f t="shared" si="27"/>
        <v>1276.0888981445084</v>
      </c>
      <c r="AY55" s="40">
        <f t="shared" si="28"/>
        <v>1280.0517005599552</v>
      </c>
      <c r="AZ55" s="40">
        <f t="shared" si="29"/>
        <v>1282.0331017676785</v>
      </c>
      <c r="BA55" s="19">
        <v>1284.0145029754019</v>
      </c>
      <c r="BB55" s="19">
        <v>1376.0114901564177</v>
      </c>
      <c r="BC55" s="19">
        <v>1408.3577288873578</v>
      </c>
      <c r="BD55" s="19">
        <v>1290.2552375373657</v>
      </c>
      <c r="BE55" s="19">
        <v>1303.0237151446202</v>
      </c>
      <c r="BF55" s="19">
        <v>1394.8980239781386</v>
      </c>
      <c r="BG55" s="19">
        <v>1407.3923320865383</v>
      </c>
      <c r="BH55" s="19">
        <v>1337.9464791240596</v>
      </c>
      <c r="BI55" s="19">
        <v>1340.0085607429062</v>
      </c>
      <c r="BJ55" s="19">
        <v>1442.3610244375814</v>
      </c>
      <c r="BK55" s="19">
        <v>1454.3007672033077</v>
      </c>
      <c r="BL55" s="19">
        <v>1450.6218915157499</v>
      </c>
      <c r="BM55" s="19">
        <v>1389.9329221530925</v>
      </c>
      <c r="BN55" s="19">
        <v>1405.8434674703301</v>
      </c>
      <c r="BO55" s="19">
        <v>1446.4670274979426</v>
      </c>
      <c r="BP55" s="19">
        <v>1464.0596710864818</v>
      </c>
      <c r="BQ55" s="19">
        <v>758.46309934399528</v>
      </c>
      <c r="BR55" s="19">
        <v>923.20226099114018</v>
      </c>
      <c r="BS55" s="19">
        <v>1186.9461675309913</v>
      </c>
      <c r="BT55" s="19">
        <v>1170.5722066067958</v>
      </c>
      <c r="BU55" s="19">
        <v>1104.5528288478613</v>
      </c>
      <c r="BV55" s="19">
        <v>1213.9650046888805</v>
      </c>
      <c r="BW55" s="19">
        <v>1219.3728769626498</v>
      </c>
      <c r="BX55" s="19">
        <v>1310.367391988477</v>
      </c>
      <c r="BY55" s="19">
        <v>1447.8385392888169</v>
      </c>
      <c r="BZ55" s="19">
        <v>1416.4276845103013</v>
      </c>
      <c r="CA55" s="19">
        <v>1380.5375913485684</v>
      </c>
      <c r="CB55" s="19">
        <v>1403.5421454574634</v>
      </c>
      <c r="CC55" s="19">
        <v>1357.9995871806686</v>
      </c>
      <c r="CD55" s="19">
        <v>1352.0431775086311</v>
      </c>
      <c r="CE55" s="19">
        <v>1227.5679856551808</v>
      </c>
      <c r="CF55" s="19">
        <v>1192.2656980170309</v>
      </c>
      <c r="CG55" s="19">
        <v>1299.6918829915762</v>
      </c>
      <c r="CH55" s="19">
        <v>1289.3628744090979</v>
      </c>
      <c r="CI55" s="19">
        <v>1292.0735516619375</v>
      </c>
      <c r="CJ55" s="19">
        <v>1292.5418983933171</v>
      </c>
    </row>
    <row r="56" spans="1:88" ht="20.149999999999999" customHeight="1" thickBot="1" x14ac:dyDescent="0.3">
      <c r="A56" s="7" t="s">
        <v>38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18"/>
      <c r="Z56" s="18"/>
      <c r="AA56" s="18"/>
      <c r="AB56" s="18"/>
      <c r="AC56" s="18"/>
      <c r="AD56" s="18"/>
      <c r="AE56" s="18"/>
      <c r="AF56" s="1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7"/>
      <c r="AY56" s="7"/>
      <c r="AZ56" s="28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</row>
    <row r="57" spans="1:88" ht="20.149999999999999" customHeight="1" x14ac:dyDescent="0.25">
      <c r="A57" s="10" t="s">
        <v>39</v>
      </c>
      <c r="B57" s="16">
        <v>593.73458660799986</v>
      </c>
      <c r="C57" s="16">
        <v>576.31364136331501</v>
      </c>
      <c r="D57" s="16">
        <v>535.0256368693548</v>
      </c>
      <c r="E57" s="16">
        <v>618.98872457083928</v>
      </c>
      <c r="F57" s="16">
        <v>630.43169436899075</v>
      </c>
      <c r="G57" s="16">
        <v>642.85446531516709</v>
      </c>
      <c r="H57" s="16">
        <v>568.86441043140007</v>
      </c>
      <c r="I57" s="16">
        <v>603.45516473744874</v>
      </c>
      <c r="J57" s="16">
        <v>640.27481448467688</v>
      </c>
      <c r="K57" s="16">
        <v>664.01172413867357</v>
      </c>
      <c r="L57" s="16">
        <v>586.0227933777544</v>
      </c>
      <c r="M57" s="16">
        <v>640.07190427023397</v>
      </c>
      <c r="N57" s="16">
        <v>660.62004404860625</v>
      </c>
      <c r="O57" s="16">
        <v>622.73201803441077</v>
      </c>
      <c r="P57" s="16">
        <v>565.62777985097466</v>
      </c>
      <c r="Q57" s="16">
        <v>665.16214615533113</v>
      </c>
      <c r="R57" s="40">
        <f t="shared" ref="R57:R62" si="30">+(Q57+S57)/2</f>
        <v>659.54803039115245</v>
      </c>
      <c r="S57" s="17">
        <v>653.93391462697389</v>
      </c>
      <c r="T57" s="16">
        <v>540.4538360142634</v>
      </c>
      <c r="U57" s="16">
        <v>599.50574645634219</v>
      </c>
      <c r="V57" s="16">
        <v>613.22654053461713</v>
      </c>
      <c r="W57" s="16">
        <v>659.77574010569401</v>
      </c>
      <c r="X57" s="16">
        <v>608.35752538448037</v>
      </c>
      <c r="Y57" s="16">
        <v>694.6342125982668</v>
      </c>
      <c r="Z57" s="16">
        <v>692.56701215940177</v>
      </c>
      <c r="AA57" s="16">
        <v>676.01717767162472</v>
      </c>
      <c r="AB57" s="16">
        <v>598.17050620389</v>
      </c>
      <c r="AC57" s="16">
        <v>652.99262557919144</v>
      </c>
      <c r="AD57" s="16">
        <v>639.43341177805519</v>
      </c>
      <c r="AE57" s="16">
        <v>621.67991064847445</v>
      </c>
      <c r="AF57" s="16">
        <v>558.4288910105189</v>
      </c>
      <c r="AG57" s="19">
        <v>604.30827730230385</v>
      </c>
      <c r="AH57" s="19">
        <v>641.27027505972592</v>
      </c>
      <c r="AI57" s="19">
        <v>619.2876306330395</v>
      </c>
      <c r="AJ57" s="19">
        <v>603.60980061561258</v>
      </c>
      <c r="AK57" s="19">
        <v>666.09582161145545</v>
      </c>
      <c r="AL57" s="19">
        <v>737.80775343743687</v>
      </c>
      <c r="AM57" s="19">
        <v>658.16439088161746</v>
      </c>
      <c r="AN57" s="19">
        <v>574.07639224986337</v>
      </c>
      <c r="AO57" s="19">
        <v>712.27272929587298</v>
      </c>
      <c r="AP57" s="19">
        <v>647.50533119289412</v>
      </c>
      <c r="AQ57" s="19">
        <v>629.6638260647884</v>
      </c>
      <c r="AR57" s="19">
        <v>559.71550040011437</v>
      </c>
      <c r="AS57" s="19">
        <v>621.90149094733579</v>
      </c>
      <c r="AT57" s="19">
        <v>590.58082401872775</v>
      </c>
      <c r="AU57" s="19">
        <v>611.34915288240347</v>
      </c>
      <c r="AV57" s="19">
        <v>555.91083442649892</v>
      </c>
      <c r="AW57" s="19">
        <v>647.11277655638196</v>
      </c>
      <c r="AX57" s="40">
        <f t="shared" ref="AX57:AX62" si="31">+(AW57+BA57)/2</f>
        <v>675.244059314678</v>
      </c>
      <c r="AY57" s="40">
        <f t="shared" ref="AY57:AY62" si="32">+(AX57+BA57)/2</f>
        <v>689.30970069382602</v>
      </c>
      <c r="AZ57" s="40">
        <f t="shared" ref="AZ57:AZ62" si="33">+(AY57+BA57)/2</f>
        <v>696.34252138340003</v>
      </c>
      <c r="BA57" s="19">
        <v>703.37534207297415</v>
      </c>
      <c r="BB57" s="19">
        <v>679.7279219032431</v>
      </c>
      <c r="BC57" s="19">
        <v>735.80038556560385</v>
      </c>
      <c r="BD57" s="19">
        <v>614.59307367467852</v>
      </c>
      <c r="BE57" s="19">
        <v>707.98932546971957</v>
      </c>
      <c r="BF57" s="19">
        <v>721.01544060000026</v>
      </c>
      <c r="BG57" s="19">
        <v>763.87208999999984</v>
      </c>
      <c r="BH57" s="19">
        <v>671.13967719227298</v>
      </c>
      <c r="BI57" s="19">
        <v>770.26890820000017</v>
      </c>
      <c r="BJ57" s="19">
        <v>777.29153040000028</v>
      </c>
      <c r="BK57" s="19">
        <v>787.10375700000031</v>
      </c>
      <c r="BL57" s="19">
        <v>3005.3879999999999</v>
      </c>
      <c r="BM57" s="19">
        <v>2968.3029999999999</v>
      </c>
      <c r="BN57" s="19">
        <v>802.93625952987873</v>
      </c>
      <c r="BO57" s="19">
        <v>818.38199999999995</v>
      </c>
      <c r="BP57" s="19">
        <v>793.649</v>
      </c>
      <c r="BQ57" s="19">
        <v>1650.789</v>
      </c>
      <c r="BR57" s="19">
        <v>569.89400000000001</v>
      </c>
      <c r="BS57" s="19">
        <v>692.745</v>
      </c>
      <c r="BT57" s="19">
        <v>659.44899999999996</v>
      </c>
      <c r="BU57" s="19">
        <v>567.58199999999999</v>
      </c>
      <c r="BV57" s="19">
        <v>689.29899999999998</v>
      </c>
      <c r="BW57" s="19">
        <v>2917.9920000000002</v>
      </c>
      <c r="BX57" s="19">
        <v>613.06600000000003</v>
      </c>
      <c r="BY57" s="19">
        <v>805.976</v>
      </c>
      <c r="BZ57" s="19">
        <v>788.33900000000006</v>
      </c>
      <c r="CA57" s="19">
        <v>684.67899999999997</v>
      </c>
      <c r="CB57" s="19">
        <v>755.51</v>
      </c>
      <c r="CC57" s="19">
        <v>3389.4879999999998</v>
      </c>
      <c r="CD57" s="19">
        <v>713.596</v>
      </c>
      <c r="CE57" s="19">
        <v>707.78099999999995</v>
      </c>
      <c r="CF57" s="19">
        <v>649.46</v>
      </c>
      <c r="CG57" s="19">
        <v>821.54</v>
      </c>
      <c r="CH57" s="19">
        <v>795.48</v>
      </c>
      <c r="CI57" s="19">
        <v>755.79525084011971</v>
      </c>
      <c r="CJ57" s="19">
        <v>704.44915439596571</v>
      </c>
    </row>
    <row r="58" spans="1:88" ht="20.149999999999999" customHeight="1" x14ac:dyDescent="0.25">
      <c r="A58" s="10" t="s">
        <v>40</v>
      </c>
      <c r="B58" s="16">
        <v>586.83810442913227</v>
      </c>
      <c r="C58" s="16">
        <v>590.29366937270879</v>
      </c>
      <c r="D58" s="16">
        <v>544.50952579551574</v>
      </c>
      <c r="E58" s="16">
        <v>602.75805022347345</v>
      </c>
      <c r="F58" s="16">
        <v>614.6326827428577</v>
      </c>
      <c r="G58" s="16">
        <v>663.1796135536066</v>
      </c>
      <c r="H58" s="16">
        <v>573.97651629210554</v>
      </c>
      <c r="I58" s="16">
        <v>617.49439173151393</v>
      </c>
      <c r="J58" s="16">
        <v>668.79569911244675</v>
      </c>
      <c r="K58" s="16">
        <v>631.04848518386393</v>
      </c>
      <c r="L58" s="16">
        <v>583.70928203898313</v>
      </c>
      <c r="M58" s="16">
        <v>659.79560085903267</v>
      </c>
      <c r="N58" s="16">
        <v>658.63792159161812</v>
      </c>
      <c r="O58" s="16">
        <v>645.24410426665384</v>
      </c>
      <c r="P58" s="16">
        <v>582.22045829406989</v>
      </c>
      <c r="Q58" s="16">
        <v>641.93031466794184</v>
      </c>
      <c r="R58" s="40">
        <f t="shared" si="30"/>
        <v>631.52355304770686</v>
      </c>
      <c r="S58" s="17">
        <v>621.11679142747187</v>
      </c>
      <c r="T58" s="16">
        <v>619.39727566882675</v>
      </c>
      <c r="U58" s="16">
        <v>621.93076801663665</v>
      </c>
      <c r="V58" s="16">
        <v>619.65016310662213</v>
      </c>
      <c r="W58" s="16">
        <v>695.91971044642366</v>
      </c>
      <c r="X58" s="16">
        <v>567.38399753694716</v>
      </c>
      <c r="Y58" s="16">
        <v>607.73628134918249</v>
      </c>
      <c r="Z58" s="16">
        <v>683.73423578536347</v>
      </c>
      <c r="AA58" s="16">
        <v>606.25209361627049</v>
      </c>
      <c r="AB58" s="16">
        <v>589.68596341535738</v>
      </c>
      <c r="AC58" s="16">
        <v>685.49583127229607</v>
      </c>
      <c r="AD58" s="16">
        <v>681.69036506471002</v>
      </c>
      <c r="AE58" s="16">
        <v>577.91201102472803</v>
      </c>
      <c r="AF58" s="16">
        <v>620.27426517408219</v>
      </c>
      <c r="AG58" s="19">
        <v>664.5623348429034</v>
      </c>
      <c r="AH58" s="19">
        <v>681.13897241048699</v>
      </c>
      <c r="AI58" s="19">
        <v>634.94261197695369</v>
      </c>
      <c r="AJ58" s="19">
        <v>572.74496087288708</v>
      </c>
      <c r="AK58" s="19">
        <v>686.94215934497379</v>
      </c>
      <c r="AL58" s="19">
        <v>693.99280041723887</v>
      </c>
      <c r="AM58" s="19">
        <v>633.45695159837885</v>
      </c>
      <c r="AN58" s="19">
        <v>574.63616953417738</v>
      </c>
      <c r="AO58" s="19">
        <v>631.21605614835596</v>
      </c>
      <c r="AP58" s="19">
        <v>688.7748398459255</v>
      </c>
      <c r="AQ58" s="19">
        <v>599.43992143627997</v>
      </c>
      <c r="AR58" s="19">
        <v>583.64187409583622</v>
      </c>
      <c r="AS58" s="19">
        <v>648.53783388866282</v>
      </c>
      <c r="AT58" s="19">
        <v>632.18866555555746</v>
      </c>
      <c r="AU58" s="19">
        <v>680.07279496576473</v>
      </c>
      <c r="AV58" s="19">
        <v>562.11520316690974</v>
      </c>
      <c r="AW58" s="19">
        <v>649.99400754051021</v>
      </c>
      <c r="AX58" s="40">
        <f t="shared" si="31"/>
        <v>673.38969728870188</v>
      </c>
      <c r="AY58" s="40">
        <f t="shared" si="32"/>
        <v>685.08754216279772</v>
      </c>
      <c r="AZ58" s="40">
        <f t="shared" si="33"/>
        <v>690.93646459984564</v>
      </c>
      <c r="BA58" s="19">
        <v>696.78538703689355</v>
      </c>
      <c r="BB58" s="19">
        <v>659.29349101105197</v>
      </c>
      <c r="BC58" s="19">
        <v>686.73704134477407</v>
      </c>
      <c r="BD58" s="19">
        <v>642.19705795627874</v>
      </c>
      <c r="BE58" s="19">
        <v>709.53778794745097</v>
      </c>
      <c r="BF58" s="19">
        <v>715.13160810000034</v>
      </c>
      <c r="BG58" s="19">
        <v>740.50775999999996</v>
      </c>
      <c r="BH58" s="19">
        <v>644.7992048363609</v>
      </c>
      <c r="BI58" s="19">
        <v>690.37268949999998</v>
      </c>
      <c r="BJ58" s="19">
        <v>755.91507420000005</v>
      </c>
      <c r="BK58" s="19">
        <v>786.80384640000034</v>
      </c>
      <c r="BL58" s="19">
        <v>785.04399999999998</v>
      </c>
      <c r="BM58" s="19">
        <v>843.16499999999996</v>
      </c>
      <c r="BN58" s="19">
        <v>749.34318585062999</v>
      </c>
      <c r="BO58" s="19">
        <v>728.77300000000002</v>
      </c>
      <c r="BP58" s="19">
        <v>689.84900000000005</v>
      </c>
      <c r="BQ58" s="19">
        <v>446.79199999999997</v>
      </c>
      <c r="BR58" s="19">
        <v>483.952</v>
      </c>
      <c r="BS58" s="19">
        <v>654.74099999999999</v>
      </c>
      <c r="BT58" s="19">
        <v>648.90300000000002</v>
      </c>
      <c r="BU58" s="19">
        <v>698.50900000000001</v>
      </c>
      <c r="BV58" s="19">
        <v>694.66</v>
      </c>
      <c r="BW58" s="19">
        <v>669.428</v>
      </c>
      <c r="BX58" s="19">
        <v>736.10500000000002</v>
      </c>
      <c r="BY58" s="19">
        <v>910.54</v>
      </c>
      <c r="BZ58" s="19">
        <v>750.07299999999998</v>
      </c>
      <c r="CA58" s="19">
        <v>823.755</v>
      </c>
      <c r="CB58" s="19">
        <v>780.22299999999996</v>
      </c>
      <c r="CC58" s="19">
        <v>751.63699999999994</v>
      </c>
      <c r="CD58" s="19">
        <v>857.50199999999995</v>
      </c>
      <c r="CE58" s="19">
        <v>832.98400000000004</v>
      </c>
      <c r="CF58" s="19">
        <v>771.55200000000002</v>
      </c>
      <c r="CG58" s="19">
        <v>840.18799999999999</v>
      </c>
      <c r="CH58" s="19">
        <v>763.80100000000004</v>
      </c>
      <c r="CI58" s="19">
        <v>876.60633909180922</v>
      </c>
      <c r="CJ58" s="19">
        <v>894.32344954018197</v>
      </c>
    </row>
    <row r="59" spans="1:88" ht="20.149999999999999" customHeight="1" x14ac:dyDescent="0.25">
      <c r="A59" s="10" t="s">
        <v>41</v>
      </c>
      <c r="B59" s="16">
        <v>529.37015549026194</v>
      </c>
      <c r="C59" s="16">
        <v>593.3435380718621</v>
      </c>
      <c r="D59" s="16">
        <v>528.52213592774865</v>
      </c>
      <c r="E59" s="16">
        <v>598.43888573136383</v>
      </c>
      <c r="F59" s="16">
        <v>586.65597360949425</v>
      </c>
      <c r="G59" s="16">
        <v>669.67677006633312</v>
      </c>
      <c r="H59" s="16">
        <v>603.24396716122715</v>
      </c>
      <c r="I59" s="16">
        <v>646.88453992054917</v>
      </c>
      <c r="J59" s="16">
        <v>638.89697413151555</v>
      </c>
      <c r="K59" s="16">
        <v>654.39131742527354</v>
      </c>
      <c r="L59" s="16">
        <v>607.24178951817612</v>
      </c>
      <c r="M59" s="16">
        <v>655.56968213531934</v>
      </c>
      <c r="N59" s="16">
        <v>629.83789498739907</v>
      </c>
      <c r="O59" s="16">
        <v>731.97227747513216</v>
      </c>
      <c r="P59" s="16">
        <v>684.08516395514278</v>
      </c>
      <c r="Q59" s="16">
        <v>695.5988825764814</v>
      </c>
      <c r="R59" s="40">
        <f t="shared" si="30"/>
        <v>695.79041055999232</v>
      </c>
      <c r="S59" s="17">
        <v>695.98193854350336</v>
      </c>
      <c r="T59" s="16">
        <v>603.60573341486781</v>
      </c>
      <c r="U59" s="16">
        <v>613.52011367180057</v>
      </c>
      <c r="V59" s="16">
        <v>654.55286537047959</v>
      </c>
      <c r="W59" s="16">
        <v>635.78574794924032</v>
      </c>
      <c r="X59" s="16">
        <v>634.58572479091595</v>
      </c>
      <c r="Y59" s="16">
        <v>649.87851116546767</v>
      </c>
      <c r="Z59" s="16">
        <v>617.69592243926581</v>
      </c>
      <c r="AA59" s="16">
        <v>619.51427382225859</v>
      </c>
      <c r="AB59" s="16">
        <v>613.29953344267449</v>
      </c>
      <c r="AC59" s="16">
        <v>721.44326143771252</v>
      </c>
      <c r="AD59" s="16">
        <v>651.05964175476879</v>
      </c>
      <c r="AE59" s="16">
        <v>661.42864407738671</v>
      </c>
      <c r="AF59" s="16">
        <v>616.80488801865397</v>
      </c>
      <c r="AG59" s="19">
        <v>734.82102981758305</v>
      </c>
      <c r="AH59" s="19">
        <v>666.76041916143356</v>
      </c>
      <c r="AI59" s="19">
        <v>709.20588452781726</v>
      </c>
      <c r="AJ59" s="19">
        <v>586.86779389664298</v>
      </c>
      <c r="AK59" s="19">
        <v>644.60283796892247</v>
      </c>
      <c r="AL59" s="19">
        <v>716.25270222053018</v>
      </c>
      <c r="AM59" s="19">
        <v>728.59483998334463</v>
      </c>
      <c r="AN59" s="19">
        <v>643.40202035370498</v>
      </c>
      <c r="AO59" s="19">
        <v>736.862325906725</v>
      </c>
      <c r="AP59" s="19">
        <v>722.02913995017559</v>
      </c>
      <c r="AQ59" s="19">
        <v>731.51929640997548</v>
      </c>
      <c r="AR59" s="19">
        <v>660.0131103299567</v>
      </c>
      <c r="AS59" s="19">
        <v>667.44981869996593</v>
      </c>
      <c r="AT59" s="19">
        <v>739.42398879174198</v>
      </c>
      <c r="AU59" s="19">
        <v>738.30900165508797</v>
      </c>
      <c r="AV59" s="19">
        <v>628.85953641332935</v>
      </c>
      <c r="AW59" s="19">
        <v>718.19423800970185</v>
      </c>
      <c r="AX59" s="40">
        <f t="shared" si="31"/>
        <v>661.42920017024608</v>
      </c>
      <c r="AY59" s="40">
        <f t="shared" si="32"/>
        <v>633.0466812505183</v>
      </c>
      <c r="AZ59" s="40">
        <f t="shared" si="33"/>
        <v>618.85542179065442</v>
      </c>
      <c r="BA59" s="19">
        <v>604.66416233079042</v>
      </c>
      <c r="BB59" s="19">
        <v>728.95655358810563</v>
      </c>
      <c r="BC59" s="19">
        <v>667.36005135289622</v>
      </c>
      <c r="BD59" s="19">
        <v>646.75978359710757</v>
      </c>
      <c r="BE59" s="19">
        <v>647.00613187604813</v>
      </c>
      <c r="BF59" s="19">
        <v>697.13162610000018</v>
      </c>
      <c r="BG59" s="19">
        <v>692.25096999999994</v>
      </c>
      <c r="BH59" s="19">
        <v>685.74798003939327</v>
      </c>
      <c r="BI59" s="19">
        <v>672.69237020000003</v>
      </c>
      <c r="BJ59" s="19">
        <v>685.74407220000023</v>
      </c>
      <c r="BK59" s="19">
        <v>697.49107560000016</v>
      </c>
      <c r="BL59" s="19">
        <v>704.37300000000005</v>
      </c>
      <c r="BM59" s="19">
        <v>749.74900000000002</v>
      </c>
      <c r="BN59" s="19">
        <v>709.95501621359028</v>
      </c>
      <c r="BO59" s="19">
        <v>747.29700000000003</v>
      </c>
      <c r="BP59" s="19">
        <v>743.63</v>
      </c>
      <c r="BQ59" s="19">
        <v>385.22300000000001</v>
      </c>
      <c r="BR59" s="19">
        <v>535.096</v>
      </c>
      <c r="BS59" s="19">
        <v>619.43600000000004</v>
      </c>
      <c r="BT59" s="19">
        <v>694.48699999999997</v>
      </c>
      <c r="BU59" s="19">
        <v>625.72</v>
      </c>
      <c r="BV59" s="19">
        <v>667.654</v>
      </c>
      <c r="BW59" s="19">
        <v>817.70699999999999</v>
      </c>
      <c r="BX59" s="19">
        <v>777.64599999999996</v>
      </c>
      <c r="BY59" s="19">
        <v>912.30399999999997</v>
      </c>
      <c r="BZ59" s="19">
        <v>870.84799999999996</v>
      </c>
      <c r="CA59" s="19">
        <v>832.48199999999997</v>
      </c>
      <c r="CB59" s="19">
        <v>893.84699999999998</v>
      </c>
      <c r="CC59" s="19">
        <v>878.947</v>
      </c>
      <c r="CD59" s="19">
        <v>931.92700000000002</v>
      </c>
      <c r="CE59" s="19">
        <v>918.24099999999999</v>
      </c>
      <c r="CF59" s="19">
        <v>849.95</v>
      </c>
      <c r="CG59" s="19">
        <v>898.77599999999995</v>
      </c>
      <c r="CH59" s="19">
        <v>939.245</v>
      </c>
      <c r="CI59" s="19">
        <v>915.31723656468</v>
      </c>
      <c r="CJ59" s="19">
        <v>864.62681976126521</v>
      </c>
    </row>
    <row r="60" spans="1:88" ht="20.149999999999999" customHeight="1" x14ac:dyDescent="0.25">
      <c r="A60" s="10" t="s">
        <v>42</v>
      </c>
      <c r="B60" s="16">
        <v>537.86200062481805</v>
      </c>
      <c r="C60" s="16">
        <v>574.02908004854112</v>
      </c>
      <c r="D60" s="16">
        <v>582.31527722236888</v>
      </c>
      <c r="E60" s="16">
        <v>572.58536696407714</v>
      </c>
      <c r="F60" s="16">
        <v>576.35683280144451</v>
      </c>
      <c r="G60" s="16">
        <v>591.70063756305763</v>
      </c>
      <c r="H60" s="16">
        <v>620.45076868390083</v>
      </c>
      <c r="I60" s="16">
        <v>638.04290119757161</v>
      </c>
      <c r="J60" s="16">
        <v>638.16698568807453</v>
      </c>
      <c r="K60" s="16">
        <v>649.62688634471442</v>
      </c>
      <c r="L60" s="16">
        <v>647.78112113972588</v>
      </c>
      <c r="M60" s="16">
        <v>630.21519824734082</v>
      </c>
      <c r="N60" s="16">
        <v>658.14466986113609</v>
      </c>
      <c r="O60" s="16">
        <v>663.71300435473734</v>
      </c>
      <c r="P60" s="16">
        <v>615.31631743566959</v>
      </c>
      <c r="Q60" s="16">
        <v>629.0827695386298</v>
      </c>
      <c r="R60" s="40">
        <f t="shared" si="30"/>
        <v>634.77073409345724</v>
      </c>
      <c r="S60" s="17">
        <v>640.45869864828467</v>
      </c>
      <c r="T60" s="16">
        <v>612.5652495771584</v>
      </c>
      <c r="U60" s="16">
        <v>617.60339991055707</v>
      </c>
      <c r="V60" s="16">
        <v>600.13968407244511</v>
      </c>
      <c r="W60" s="16">
        <v>640.02323254509986</v>
      </c>
      <c r="X60" s="16">
        <v>571.61662294874407</v>
      </c>
      <c r="Y60" s="16">
        <v>538.08624188173906</v>
      </c>
      <c r="Z60" s="16">
        <v>557.64394258255004</v>
      </c>
      <c r="AA60" s="16">
        <v>587.76566621603979</v>
      </c>
      <c r="AB60" s="16">
        <v>556.81885571244663</v>
      </c>
      <c r="AC60" s="16">
        <v>533.84046785404553</v>
      </c>
      <c r="AD60" s="16">
        <v>581.74460874476688</v>
      </c>
      <c r="AE60" s="16">
        <v>599.23512310482192</v>
      </c>
      <c r="AF60" s="16">
        <v>567.56337557441066</v>
      </c>
      <c r="AG60" s="19">
        <v>549.72546813758584</v>
      </c>
      <c r="AH60" s="19">
        <v>581.02121854228278</v>
      </c>
      <c r="AI60" s="19">
        <v>596.16210417608886</v>
      </c>
      <c r="AJ60" s="19">
        <v>566.00861176824094</v>
      </c>
      <c r="AK60" s="19">
        <v>524.58968885516811</v>
      </c>
      <c r="AL60" s="19">
        <v>549.99028215046167</v>
      </c>
      <c r="AM60" s="19">
        <v>590.43986683259664</v>
      </c>
      <c r="AN60" s="19">
        <v>509.25273680713633</v>
      </c>
      <c r="AO60" s="19">
        <v>530.14729987706971</v>
      </c>
      <c r="AP60" s="19">
        <v>589.19972263076477</v>
      </c>
      <c r="AQ60" s="19">
        <v>600.84134846172822</v>
      </c>
      <c r="AR60" s="19">
        <v>548.75928500522184</v>
      </c>
      <c r="AS60" s="19">
        <v>510.74749392839425</v>
      </c>
      <c r="AT60" s="19">
        <v>539.3298552859593</v>
      </c>
      <c r="AU60" s="19">
        <v>551.0680676216308</v>
      </c>
      <c r="AV60" s="19">
        <v>552.90842791615398</v>
      </c>
      <c r="AW60" s="19">
        <v>511.88760766859724</v>
      </c>
      <c r="AX60" s="40">
        <f t="shared" si="31"/>
        <v>500.83225901831594</v>
      </c>
      <c r="AY60" s="40">
        <f t="shared" si="32"/>
        <v>495.30458469317529</v>
      </c>
      <c r="AZ60" s="40">
        <f t="shared" si="33"/>
        <v>492.54074753060496</v>
      </c>
      <c r="BA60" s="19">
        <v>489.77691036803463</v>
      </c>
      <c r="BB60" s="19">
        <v>529.79244828809806</v>
      </c>
      <c r="BC60" s="19">
        <v>541.74408630657933</v>
      </c>
      <c r="BD60" s="19">
        <v>512.35969197688598</v>
      </c>
      <c r="BE60" s="19">
        <v>520.06650689377636</v>
      </c>
      <c r="BF60" s="19">
        <v>547.54591710000011</v>
      </c>
      <c r="BG60" s="19">
        <v>527.10586999999987</v>
      </c>
      <c r="BH60" s="19">
        <v>490.43318947304675</v>
      </c>
      <c r="BI60" s="19">
        <v>523.91693190000001</v>
      </c>
      <c r="BJ60" s="19">
        <v>490.86781920000016</v>
      </c>
      <c r="BK60" s="19">
        <v>525.35147940000013</v>
      </c>
      <c r="BL60" s="19">
        <v>692.27700000000004</v>
      </c>
      <c r="BM60" s="19">
        <v>674.67499999999995</v>
      </c>
      <c r="BN60" s="19">
        <v>476.33812042741113</v>
      </c>
      <c r="BO60" s="19">
        <v>512.40099999999995</v>
      </c>
      <c r="BP60" s="19">
        <v>507.75</v>
      </c>
      <c r="BQ60" s="19">
        <v>281.53800000000001</v>
      </c>
      <c r="BR60" s="19">
        <v>304.58199999999999</v>
      </c>
      <c r="BS60" s="19">
        <v>422.22399999999999</v>
      </c>
      <c r="BT60" s="19">
        <v>437.06599999999997</v>
      </c>
      <c r="BU60" s="19">
        <v>472.053</v>
      </c>
      <c r="BV60" s="19">
        <v>520.83399999999995</v>
      </c>
      <c r="BW60" s="19">
        <v>735.95899999999995</v>
      </c>
      <c r="BX60" s="19">
        <v>645.73800000000006</v>
      </c>
      <c r="BY60" s="19">
        <v>578.79499999999996</v>
      </c>
      <c r="BZ60" s="19">
        <v>621.72500000000002</v>
      </c>
      <c r="CA60" s="19">
        <v>611.79999999999995</v>
      </c>
      <c r="CB60" s="19">
        <v>632.44600000000003</v>
      </c>
      <c r="CC60" s="19">
        <v>870.97299999999996</v>
      </c>
      <c r="CD60" s="19">
        <v>670.50400000000002</v>
      </c>
      <c r="CE60" s="19">
        <v>622.45600000000002</v>
      </c>
      <c r="CF60" s="19">
        <v>639.84100000000001</v>
      </c>
      <c r="CG60" s="19">
        <v>616.76800000000003</v>
      </c>
      <c r="CH60" s="19">
        <v>682.74199999999996</v>
      </c>
      <c r="CI60" s="19">
        <v>678.28154440456569</v>
      </c>
      <c r="CJ60" s="19">
        <v>616.46044743276218</v>
      </c>
    </row>
    <row r="61" spans="1:88" ht="20.149999999999999" customHeight="1" x14ac:dyDescent="0.25">
      <c r="A61" s="10" t="s">
        <v>43</v>
      </c>
      <c r="B61" s="16">
        <v>303.26259554469777</v>
      </c>
      <c r="C61" s="16">
        <v>282.02248436651308</v>
      </c>
      <c r="D61" s="16">
        <v>338.33025069800141</v>
      </c>
      <c r="E61" s="16">
        <v>283.93589080791651</v>
      </c>
      <c r="F61" s="16">
        <v>294.35625483367983</v>
      </c>
      <c r="G61" s="16">
        <v>301.93114866165337</v>
      </c>
      <c r="H61" s="16">
        <v>332.12593472704197</v>
      </c>
      <c r="I61" s="16">
        <v>306.45890434183377</v>
      </c>
      <c r="J61" s="16">
        <v>277.6728193088432</v>
      </c>
      <c r="K61" s="16">
        <v>316.067338362773</v>
      </c>
      <c r="L61" s="16">
        <v>289.89744944749953</v>
      </c>
      <c r="M61" s="16">
        <v>288.62438664010261</v>
      </c>
      <c r="N61" s="16">
        <v>275.04810355881688</v>
      </c>
      <c r="O61" s="16">
        <v>287.09265558131972</v>
      </c>
      <c r="P61" s="16">
        <v>292.42167621123173</v>
      </c>
      <c r="Q61" s="16">
        <v>261.94242984473834</v>
      </c>
      <c r="R61" s="40">
        <f t="shared" si="30"/>
        <v>265.97658379872223</v>
      </c>
      <c r="S61" s="17">
        <v>270.01073775270612</v>
      </c>
      <c r="T61" s="16">
        <v>287.80954797267856</v>
      </c>
      <c r="U61" s="16">
        <v>217.42304237236556</v>
      </c>
      <c r="V61" s="16">
        <v>185.59171119941973</v>
      </c>
      <c r="W61" s="16">
        <v>228.20862207350609</v>
      </c>
      <c r="X61" s="16">
        <v>239.39990488946879</v>
      </c>
      <c r="Y61" s="16">
        <v>209.18288071817588</v>
      </c>
      <c r="Z61" s="16">
        <v>209.427349646903</v>
      </c>
      <c r="AA61" s="16">
        <v>255.9093293150064</v>
      </c>
      <c r="AB61" s="16">
        <v>204.07342610052649</v>
      </c>
      <c r="AC61" s="16">
        <v>216.44587125019407</v>
      </c>
      <c r="AD61" s="16">
        <v>244.61472922403809</v>
      </c>
      <c r="AE61" s="16">
        <v>212.51341255186327</v>
      </c>
      <c r="AF61" s="16">
        <v>230.16516225451676</v>
      </c>
      <c r="AG61" s="19">
        <v>219.1209952722312</v>
      </c>
      <c r="AH61" s="19">
        <v>190.66871160275934</v>
      </c>
      <c r="AI61" s="19">
        <v>211.15886800765006</v>
      </c>
      <c r="AJ61" s="19">
        <v>217.09740669108555</v>
      </c>
      <c r="AK61" s="19">
        <v>202.25268887571329</v>
      </c>
      <c r="AL61" s="19">
        <v>171.20357702746696</v>
      </c>
      <c r="AM61" s="19">
        <v>224.43175709947644</v>
      </c>
      <c r="AN61" s="19">
        <v>178.47083775144719</v>
      </c>
      <c r="AO61" s="19">
        <v>181.24689575045664</v>
      </c>
      <c r="AP61" s="19">
        <v>187.62869815377044</v>
      </c>
      <c r="AQ61" s="19">
        <v>181.44587126706173</v>
      </c>
      <c r="AR61" s="19">
        <v>160.37125973030595</v>
      </c>
      <c r="AS61" s="19">
        <v>163.50294315130469</v>
      </c>
      <c r="AT61" s="19">
        <v>157.74962920583985</v>
      </c>
      <c r="AU61" s="19">
        <v>172.72017974196166</v>
      </c>
      <c r="AV61" s="19">
        <v>166.84470740132446</v>
      </c>
      <c r="AW61" s="19">
        <v>145.812885686953</v>
      </c>
      <c r="AX61" s="40">
        <f t="shared" si="31"/>
        <v>161.83679990906518</v>
      </c>
      <c r="AY61" s="40">
        <f t="shared" si="32"/>
        <v>169.84875702012124</v>
      </c>
      <c r="AZ61" s="40">
        <f t="shared" si="33"/>
        <v>173.85473557564927</v>
      </c>
      <c r="BA61" s="19">
        <v>177.86071413117733</v>
      </c>
      <c r="BB61" s="19">
        <v>181.47106366582386</v>
      </c>
      <c r="BC61" s="19">
        <v>146.34095475977946</v>
      </c>
      <c r="BD61" s="19">
        <v>170.65706756612548</v>
      </c>
      <c r="BE61" s="19">
        <v>158.15097941940797</v>
      </c>
      <c r="BF61" s="19">
        <v>165.32508720000004</v>
      </c>
      <c r="BG61" s="19">
        <v>163.49778999999998</v>
      </c>
      <c r="BH61" s="19">
        <v>152.44694360040319</v>
      </c>
      <c r="BI61" s="19">
        <v>147.28583580000003</v>
      </c>
      <c r="BJ61" s="19">
        <v>162.56568240000004</v>
      </c>
      <c r="BK61" s="19">
        <v>171.66600000000003</v>
      </c>
      <c r="BL61" s="19">
        <v>494.30399999999997</v>
      </c>
      <c r="BM61" s="19">
        <v>486.21800000000002</v>
      </c>
      <c r="BN61" s="19">
        <v>166.86602241983277</v>
      </c>
      <c r="BO61" s="19">
        <v>138.30099999999999</v>
      </c>
      <c r="BP61" s="19">
        <v>137.375</v>
      </c>
      <c r="BQ61" s="19">
        <v>189.233</v>
      </c>
      <c r="BR61" s="19">
        <v>94.875</v>
      </c>
      <c r="BS61" s="19">
        <v>92.45</v>
      </c>
      <c r="BT61" s="19">
        <v>127.566</v>
      </c>
      <c r="BU61" s="19">
        <v>86.501000000000005</v>
      </c>
      <c r="BV61" s="19">
        <v>156.63300000000001</v>
      </c>
      <c r="BW61" s="19">
        <v>515.07500000000005</v>
      </c>
      <c r="BX61" s="19">
        <v>146.702</v>
      </c>
      <c r="BY61" s="19">
        <v>156.19200000000001</v>
      </c>
      <c r="BZ61" s="19">
        <v>175.50700000000001</v>
      </c>
      <c r="CA61" s="19">
        <v>192.74700000000001</v>
      </c>
      <c r="CB61" s="19">
        <v>172.96</v>
      </c>
      <c r="CC61" s="19">
        <v>661.78599999999994</v>
      </c>
      <c r="CD61" s="19">
        <v>136.733</v>
      </c>
      <c r="CE61" s="19">
        <v>158.05000000000001</v>
      </c>
      <c r="CF61" s="19">
        <v>145.32599999999999</v>
      </c>
      <c r="CG61" s="19">
        <v>101.21599999999999</v>
      </c>
      <c r="CH61" s="19">
        <v>130.53899999999999</v>
      </c>
      <c r="CI61" s="19">
        <v>159.2008005184035</v>
      </c>
      <c r="CJ61" s="19">
        <v>170.17200465487946</v>
      </c>
    </row>
    <row r="62" spans="1:88" ht="20.149999999999999" customHeight="1" x14ac:dyDescent="0.25">
      <c r="A62" s="10" t="s">
        <v>44</v>
      </c>
      <c r="B62" s="16">
        <v>44.061770326662391</v>
      </c>
      <c r="C62" s="16">
        <v>43.870393746677081</v>
      </c>
      <c r="D62" s="16">
        <v>95.458408616665935</v>
      </c>
      <c r="E62" s="16">
        <v>56.066156347174662</v>
      </c>
      <c r="F62" s="16">
        <v>49.295138443562692</v>
      </c>
      <c r="G62" s="16">
        <v>39.394138533683154</v>
      </c>
      <c r="H62" s="16">
        <v>133.2407716421167</v>
      </c>
      <c r="I62" s="16">
        <v>37.725554931351077</v>
      </c>
      <c r="J62" s="16">
        <v>57.306659576788306</v>
      </c>
      <c r="K62" s="16">
        <v>56.538532643586485</v>
      </c>
      <c r="L62" s="16">
        <v>135.05854076486131</v>
      </c>
      <c r="M62" s="16">
        <v>41.380887263891218</v>
      </c>
      <c r="N62" s="16">
        <v>53.854581135907857</v>
      </c>
      <c r="O62" s="16">
        <v>46.388849477931743</v>
      </c>
      <c r="P62" s="16">
        <v>151.23796710005161</v>
      </c>
      <c r="Q62" s="16">
        <v>42.786550912151164</v>
      </c>
      <c r="R62" s="40">
        <f t="shared" si="30"/>
        <v>41.536160623189446</v>
      </c>
      <c r="S62" s="17">
        <v>40.28577033422772</v>
      </c>
      <c r="T62" s="16">
        <v>109.25023400032561</v>
      </c>
      <c r="U62" s="16">
        <v>42.277013435892897</v>
      </c>
      <c r="V62" s="16">
        <v>41.214166346509984</v>
      </c>
      <c r="W62" s="16">
        <v>55.627431260316953</v>
      </c>
      <c r="X62" s="16">
        <v>139.35630974396429</v>
      </c>
      <c r="Y62" s="16">
        <v>33.486125973933447</v>
      </c>
      <c r="Z62" s="16">
        <v>0</v>
      </c>
      <c r="AA62" s="16">
        <v>48.892651081881262</v>
      </c>
      <c r="AB62" s="16">
        <v>130.47723633670927</v>
      </c>
      <c r="AC62" s="16">
        <v>57.841687751292824</v>
      </c>
      <c r="AD62" s="16">
        <v>31.234203467630913</v>
      </c>
      <c r="AE62" s="16">
        <v>38.494794588023858</v>
      </c>
      <c r="AF62" s="16">
        <v>108.98264511531444</v>
      </c>
      <c r="AG62" s="19">
        <v>32.621761056770985</v>
      </c>
      <c r="AH62" s="19">
        <v>52.982952652218152</v>
      </c>
      <c r="AI62" s="19">
        <v>40.239283862212858</v>
      </c>
      <c r="AJ62" s="19">
        <v>132.38007823242629</v>
      </c>
      <c r="AK62" s="19">
        <v>44.142091789062171</v>
      </c>
      <c r="AL62" s="19">
        <v>55.909571695179878</v>
      </c>
      <c r="AM62" s="19">
        <v>45.444261339194227</v>
      </c>
      <c r="AN62" s="19">
        <v>117.78354397602061</v>
      </c>
      <c r="AO62" s="19">
        <v>39.471707723235198</v>
      </c>
      <c r="AP62" s="19">
        <v>58.572677856478897</v>
      </c>
      <c r="AQ62" s="19">
        <v>43.863231687585575</v>
      </c>
      <c r="AR62" s="19">
        <v>153.48359532459034</v>
      </c>
      <c r="AS62" s="19">
        <v>39.284626806817698</v>
      </c>
      <c r="AT62" s="19">
        <v>42.437216986955946</v>
      </c>
      <c r="AU62" s="19">
        <v>51.152199060580728</v>
      </c>
      <c r="AV62" s="19">
        <v>136.31671371272128</v>
      </c>
      <c r="AW62" s="19">
        <v>32.720534222412638</v>
      </c>
      <c r="AX62" s="40">
        <f t="shared" si="31"/>
        <v>59.459754293860456</v>
      </c>
      <c r="AY62" s="40">
        <f t="shared" si="32"/>
        <v>72.829364329584365</v>
      </c>
      <c r="AZ62" s="40">
        <f t="shared" si="33"/>
        <v>79.514169347446312</v>
      </c>
      <c r="BA62" s="19">
        <v>86.198974365308274</v>
      </c>
      <c r="BB62" s="27">
        <v>75.759086530629716</v>
      </c>
      <c r="BC62" s="27">
        <v>61.778260513614697</v>
      </c>
      <c r="BD62" s="27">
        <v>150.31297667667346</v>
      </c>
      <c r="BE62" s="27">
        <v>75.628521444943331</v>
      </c>
      <c r="BF62" s="27">
        <v>77.096892600000032</v>
      </c>
      <c r="BG62" s="27">
        <v>59.951579999999993</v>
      </c>
      <c r="BH62" s="27">
        <v>172.84809174320074</v>
      </c>
      <c r="BI62" s="27">
        <v>69.25995189999999</v>
      </c>
      <c r="BJ62" s="27">
        <v>63.851673600000019</v>
      </c>
      <c r="BK62" s="27">
        <v>45.715665600000023</v>
      </c>
      <c r="BL62" s="27">
        <v>179.251</v>
      </c>
      <c r="BM62" s="27">
        <v>132.649</v>
      </c>
      <c r="BN62" s="27">
        <v>62.684212266262513</v>
      </c>
      <c r="BO62" s="27">
        <v>191.041</v>
      </c>
      <c r="BP62" s="27">
        <v>180.54</v>
      </c>
      <c r="BQ62" s="27">
        <v>61.317</v>
      </c>
      <c r="BR62" s="27">
        <v>102.078</v>
      </c>
      <c r="BS62" s="27">
        <v>74.096999999999994</v>
      </c>
      <c r="BT62" s="27">
        <v>91.456000000000003</v>
      </c>
      <c r="BU62" s="27">
        <v>138.809</v>
      </c>
      <c r="BV62" s="27">
        <v>66.22</v>
      </c>
      <c r="BW62" s="27">
        <v>147.827</v>
      </c>
      <c r="BX62" s="27">
        <v>229.90299999999999</v>
      </c>
      <c r="BY62" s="27">
        <v>48.319000000000003</v>
      </c>
      <c r="BZ62" s="27">
        <v>70.701999999999998</v>
      </c>
      <c r="CA62" s="27">
        <v>74.372</v>
      </c>
      <c r="CB62" s="27">
        <v>154.108</v>
      </c>
      <c r="CC62" s="27">
        <v>149.55099999999999</v>
      </c>
      <c r="CD62" s="27">
        <v>78.698999999999998</v>
      </c>
      <c r="CE62" s="27">
        <v>43.280999999999999</v>
      </c>
      <c r="CF62" s="27">
        <v>203.309</v>
      </c>
      <c r="CG62" s="27">
        <v>76.576999999999998</v>
      </c>
      <c r="CH62" s="27">
        <v>75.879000000000005</v>
      </c>
      <c r="CI62" s="27">
        <v>60.988828580422002</v>
      </c>
      <c r="CJ62" s="27">
        <v>173.66412421494562</v>
      </c>
    </row>
    <row r="63" spans="1:88" ht="20.149999999999999" customHeight="1" thickBot="1" x14ac:dyDescent="0.3">
      <c r="A63" s="7" t="s">
        <v>56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18"/>
      <c r="Z63" s="18"/>
      <c r="AA63" s="18"/>
      <c r="AB63" s="18"/>
      <c r="AC63" s="18"/>
      <c r="AD63" s="18"/>
      <c r="AE63" s="18"/>
      <c r="AF63" s="1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7"/>
      <c r="AY63" s="7"/>
      <c r="AZ63" s="28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</row>
    <row r="64" spans="1:88" ht="20.149999999999999" customHeight="1" x14ac:dyDescent="0.25">
      <c r="A64" s="10" t="s">
        <v>64</v>
      </c>
      <c r="B64" s="16">
        <v>657.43628588207969</v>
      </c>
      <c r="C64" s="16">
        <v>683.03551858992182</v>
      </c>
      <c r="D64" s="16">
        <v>688.15155229818072</v>
      </c>
      <c r="E64" s="16">
        <v>680.04085354929089</v>
      </c>
      <c r="F64" s="16">
        <v>744.37201939165436</v>
      </c>
      <c r="G64" s="16">
        <v>785.0610961146258</v>
      </c>
      <c r="H64" s="16">
        <v>755.87676848877697</v>
      </c>
      <c r="I64" s="16">
        <v>743.88323256460194</v>
      </c>
      <c r="J64" s="16">
        <v>822.13806898115445</v>
      </c>
      <c r="K64" s="16">
        <v>834.1327209008881</v>
      </c>
      <c r="L64" s="16">
        <v>808.89918994263496</v>
      </c>
      <c r="M64" s="16">
        <v>798.80875854115789</v>
      </c>
      <c r="N64" s="16">
        <v>849.7649040506135</v>
      </c>
      <c r="O64" s="16">
        <v>867.29440766481991</v>
      </c>
      <c r="P64" s="16">
        <v>867.35663708712923</v>
      </c>
      <c r="Q64" s="16">
        <v>882.72677528141901</v>
      </c>
      <c r="R64" s="40">
        <f t="shared" ref="R64:R68" si="34">+(Q64+S64)/2</f>
        <v>890.43724078377488</v>
      </c>
      <c r="S64" s="17">
        <v>898.14770628613076</v>
      </c>
      <c r="T64" s="16">
        <v>837.22069316826935</v>
      </c>
      <c r="U64" s="16">
        <v>827.79068200114261</v>
      </c>
      <c r="V64" s="16">
        <v>893.38703186865746</v>
      </c>
      <c r="W64" s="16">
        <v>916.79375420429699</v>
      </c>
      <c r="X64" s="16">
        <v>920.1006561958618</v>
      </c>
      <c r="Y64" s="16">
        <v>849.44458280264587</v>
      </c>
      <c r="Z64" s="16">
        <v>916.06979768606323</v>
      </c>
      <c r="AA64" s="16">
        <v>870.61400772911281</v>
      </c>
      <c r="AB64" s="16">
        <v>818.92009650396619</v>
      </c>
      <c r="AC64" s="16">
        <v>870.85516815352889</v>
      </c>
      <c r="AD64" s="16">
        <v>916.35568137899315</v>
      </c>
      <c r="AE64" s="16">
        <v>854.8028570229061</v>
      </c>
      <c r="AF64" s="16">
        <v>889.25299958700987</v>
      </c>
      <c r="AG64" s="19">
        <v>874.00569170223957</v>
      </c>
      <c r="AH64" s="19">
        <v>864.4901093204046</v>
      </c>
      <c r="AI64" s="19">
        <v>871.55945377359762</v>
      </c>
      <c r="AJ64" s="19">
        <v>900.6666847246845</v>
      </c>
      <c r="AK64" s="19">
        <v>883.24394445873429</v>
      </c>
      <c r="AL64" s="19">
        <v>939.53732659816171</v>
      </c>
      <c r="AM64" s="19">
        <v>878.04239532362556</v>
      </c>
      <c r="AN64" s="19">
        <v>802.52806266234893</v>
      </c>
      <c r="AO64" s="19">
        <v>860.12794425732272</v>
      </c>
      <c r="AP64" s="19">
        <v>903.03527904884572</v>
      </c>
      <c r="AQ64" s="19">
        <v>887.19147377099546</v>
      </c>
      <c r="AR64" s="19">
        <v>856.24158916943315</v>
      </c>
      <c r="AS64" s="19">
        <v>809.98074662722775</v>
      </c>
      <c r="AT64" s="19">
        <v>847.99581800274757</v>
      </c>
      <c r="AU64" s="19">
        <v>840.52890608995904</v>
      </c>
      <c r="AV64" s="19">
        <v>838.51369050047344</v>
      </c>
      <c r="AW64" s="19">
        <v>858.0043758743509</v>
      </c>
      <c r="AX64" s="40">
        <f t="shared" ref="AX64:AX68" si="35">+(AW64+BA64)/2</f>
        <v>866.73061677181499</v>
      </c>
      <c r="AY64" s="40">
        <f t="shared" ref="AY64:AY68" si="36">+(AX64+BA64)/2</f>
        <v>871.09373722054704</v>
      </c>
      <c r="AZ64" s="40">
        <f t="shared" ref="AZ64:AZ68" si="37">+(AY64+BA64)/2</f>
        <v>873.27529744491312</v>
      </c>
      <c r="BA64" s="19">
        <v>875.45685766927909</v>
      </c>
      <c r="BB64" s="19">
        <v>971.44306594821592</v>
      </c>
      <c r="BC64" s="19">
        <v>1017.3856246656412</v>
      </c>
      <c r="BD64" s="19">
        <v>980.52696325235922</v>
      </c>
      <c r="BE64" s="19">
        <v>880.11557461771724</v>
      </c>
      <c r="BF64" s="19">
        <v>977.1480480041289</v>
      </c>
      <c r="BG64" s="19">
        <v>989.71291211632115</v>
      </c>
      <c r="BH64" s="19">
        <v>982.25535471558146</v>
      </c>
      <c r="BI64" s="19">
        <v>950.41090443080941</v>
      </c>
      <c r="BJ64" s="19">
        <v>1058.4519896659212</v>
      </c>
      <c r="BK64" s="19">
        <v>995.82222864768858</v>
      </c>
      <c r="BL64" s="19">
        <v>1040.175</v>
      </c>
      <c r="BM64" s="19">
        <v>947.33100000000002</v>
      </c>
      <c r="BN64" s="19">
        <v>959.97920135666243</v>
      </c>
      <c r="BO64" s="19">
        <v>952.47199999999998</v>
      </c>
      <c r="BP64" s="19">
        <v>1010.2670000000001</v>
      </c>
      <c r="BQ64" s="19">
        <v>503.685</v>
      </c>
      <c r="BR64" s="19">
        <v>597.23699999999997</v>
      </c>
      <c r="BS64" s="19">
        <v>722.69500000000005</v>
      </c>
      <c r="BT64" s="19">
        <v>849.14400000000001</v>
      </c>
      <c r="BU64" s="19">
        <v>786.48500000000001</v>
      </c>
      <c r="BV64" s="19">
        <v>835.36400000000003</v>
      </c>
      <c r="BW64" s="19">
        <v>893.71699999999998</v>
      </c>
      <c r="BX64" s="19">
        <v>920.369460377108</v>
      </c>
      <c r="BY64" s="19">
        <v>1136.0268487749281</v>
      </c>
      <c r="BZ64" s="19">
        <v>1074.9532916574458</v>
      </c>
      <c r="CA64" s="19">
        <v>973.34625844623451</v>
      </c>
      <c r="CB64" s="19">
        <v>1148.0253264340722</v>
      </c>
      <c r="CC64" s="19">
        <v>1108.1679866888287</v>
      </c>
      <c r="CD64" s="19">
        <v>1109.3071798288868</v>
      </c>
      <c r="CE64" s="19">
        <v>1025.5895987010995</v>
      </c>
      <c r="CF64" s="19">
        <v>1057.4443315815938</v>
      </c>
      <c r="CG64" s="19">
        <v>1087.4717013398597</v>
      </c>
      <c r="CH64" s="19">
        <v>1158.1773171124776</v>
      </c>
      <c r="CI64" s="19">
        <v>1048.8805251258964</v>
      </c>
      <c r="CJ64" s="19">
        <v>1116.8939555205575</v>
      </c>
    </row>
    <row r="65" spans="1:88" ht="20.149999999999999" customHeight="1" x14ac:dyDescent="0.25">
      <c r="A65" s="10" t="s">
        <v>57</v>
      </c>
      <c r="B65" s="16">
        <v>679.61712077592722</v>
      </c>
      <c r="C65" s="16">
        <v>622.09174929028359</v>
      </c>
      <c r="D65" s="16">
        <v>642.84741188599378</v>
      </c>
      <c r="E65" s="16">
        <v>679.20082119349081</v>
      </c>
      <c r="F65" s="16">
        <v>719.52347615217354</v>
      </c>
      <c r="G65" s="16">
        <v>693.6092849551942</v>
      </c>
      <c r="H65" s="16">
        <v>773.62668423494893</v>
      </c>
      <c r="I65" s="16">
        <v>715.1326314271497</v>
      </c>
      <c r="J65" s="16">
        <v>731.08761060417703</v>
      </c>
      <c r="K65" s="16">
        <v>764.28877782614984</v>
      </c>
      <c r="L65" s="16">
        <v>764.96913753411832</v>
      </c>
      <c r="M65" s="16">
        <v>742.5555304410351</v>
      </c>
      <c r="N65" s="16">
        <v>787.00519795046068</v>
      </c>
      <c r="O65" s="16">
        <v>779.38812181307162</v>
      </c>
      <c r="P65" s="16">
        <v>726.52115109887677</v>
      </c>
      <c r="Q65" s="16">
        <v>753.70672388247942</v>
      </c>
      <c r="R65" s="40">
        <f t="shared" si="34"/>
        <v>714.0763066664814</v>
      </c>
      <c r="S65" s="17">
        <v>674.44588945048338</v>
      </c>
      <c r="T65" s="16">
        <v>758.54516943396561</v>
      </c>
      <c r="U65" s="16">
        <v>677.02285288161011</v>
      </c>
      <c r="V65" s="16">
        <v>649.38033083791447</v>
      </c>
      <c r="W65" s="16">
        <v>701.38726813203857</v>
      </c>
      <c r="X65" s="16">
        <v>688.61462783672744</v>
      </c>
      <c r="Y65" s="16">
        <v>674.30999468976836</v>
      </c>
      <c r="Z65" s="16">
        <v>658.82315799129356</v>
      </c>
      <c r="AA65" s="16">
        <v>653.15484246864025</v>
      </c>
      <c r="AB65" s="16">
        <v>697.611652149375</v>
      </c>
      <c r="AC65" s="16">
        <v>705.09185808441805</v>
      </c>
      <c r="AD65" s="16">
        <v>692.32985694673323</v>
      </c>
      <c r="AE65" s="16">
        <v>679.86692022343664</v>
      </c>
      <c r="AF65" s="16">
        <v>616.41334814805259</v>
      </c>
      <c r="AG65" s="19">
        <v>680.94233639637662</v>
      </c>
      <c r="AH65" s="19">
        <v>666.36849452060619</v>
      </c>
      <c r="AI65" s="19">
        <v>700.26277022672593</v>
      </c>
      <c r="AJ65" s="19">
        <v>628.70437571859213</v>
      </c>
      <c r="AK65" s="19">
        <v>731.28086160294913</v>
      </c>
      <c r="AL65" s="19">
        <v>757.64245782122202</v>
      </c>
      <c r="AM65" s="19">
        <v>786.70772668208735</v>
      </c>
      <c r="AN65" s="19">
        <v>659.66068768095067</v>
      </c>
      <c r="AO65" s="19">
        <v>786.68628470484339</v>
      </c>
      <c r="AP65" s="19">
        <v>770.12440583160219</v>
      </c>
      <c r="AQ65" s="19">
        <v>685.29403300943659</v>
      </c>
      <c r="AR65" s="19">
        <v>676.36829292768448</v>
      </c>
      <c r="AS65" s="19">
        <v>745.56711745164375</v>
      </c>
      <c r="AT65" s="19">
        <v>726.52523387083477</v>
      </c>
      <c r="AU65" s="19">
        <v>786.37460455618577</v>
      </c>
      <c r="AV65" s="19">
        <v>699.2285415217782</v>
      </c>
      <c r="AW65" s="19">
        <v>762.76450167574774</v>
      </c>
      <c r="AX65" s="40">
        <f t="shared" si="35"/>
        <v>777.31710956135896</v>
      </c>
      <c r="AY65" s="40">
        <f t="shared" si="36"/>
        <v>784.59341350416457</v>
      </c>
      <c r="AZ65" s="40">
        <f t="shared" si="37"/>
        <v>788.23156547556732</v>
      </c>
      <c r="BA65" s="19">
        <v>791.86971744697018</v>
      </c>
      <c r="BB65" s="19">
        <v>782.15882439985364</v>
      </c>
      <c r="BC65" s="19">
        <v>717.77128798286594</v>
      </c>
      <c r="BD65" s="19">
        <v>691.76729477269009</v>
      </c>
      <c r="BE65" s="19">
        <v>716.73754940283163</v>
      </c>
      <c r="BF65" s="19">
        <v>766.64214548236077</v>
      </c>
      <c r="BG65" s="19">
        <v>749.69084911466223</v>
      </c>
      <c r="BH65" s="19">
        <v>698.14611185571107</v>
      </c>
      <c r="BI65" s="19">
        <v>741.88405628785915</v>
      </c>
      <c r="BJ65" s="19">
        <v>742.56055289761821</v>
      </c>
      <c r="BK65" s="19">
        <v>729.08482827740579</v>
      </c>
      <c r="BL65" s="19">
        <v>758.51599999999996</v>
      </c>
      <c r="BM65" s="19">
        <v>706.39700000000005</v>
      </c>
      <c r="BN65" s="19">
        <v>765.11318975102142</v>
      </c>
      <c r="BO65" s="19">
        <v>809.08500000000004</v>
      </c>
      <c r="BP65" s="19">
        <v>797.39</v>
      </c>
      <c r="BQ65" s="19">
        <v>405.20299999999997</v>
      </c>
      <c r="BR65" s="19">
        <v>542.303</v>
      </c>
      <c r="BS65" s="19">
        <v>720.10699999999997</v>
      </c>
      <c r="BT65" s="19">
        <v>753.97400000000005</v>
      </c>
      <c r="BU65" s="19">
        <v>814.38599999999997</v>
      </c>
      <c r="BV65" s="19">
        <v>790.39300000000003</v>
      </c>
      <c r="BW65" s="19">
        <v>747.88300000000004</v>
      </c>
      <c r="BX65" s="19">
        <v>896.75988504485372</v>
      </c>
      <c r="BY65" s="19">
        <v>930.10756095261445</v>
      </c>
      <c r="BZ65" s="19">
        <v>751.58729938563374</v>
      </c>
      <c r="CA65" s="19">
        <v>787.67193263786328</v>
      </c>
      <c r="CB65" s="19">
        <v>880.68881540565098</v>
      </c>
      <c r="CC65" s="19">
        <v>850.09109827721738</v>
      </c>
      <c r="CD65" s="19">
        <v>755.96629035388469</v>
      </c>
      <c r="CE65" s="19">
        <v>849.82143361078283</v>
      </c>
      <c r="CF65" s="19">
        <v>174.35662222967599</v>
      </c>
      <c r="CG65" s="19">
        <v>858.15657610136532</v>
      </c>
      <c r="CH65" s="19">
        <v>785.02869057727924</v>
      </c>
      <c r="CI65" s="19">
        <v>837.34929981270488</v>
      </c>
      <c r="CJ65" s="19">
        <v>815.59160921040211</v>
      </c>
    </row>
    <row r="66" spans="1:88" ht="20.149999999999999" customHeight="1" x14ac:dyDescent="0.25">
      <c r="A66" s="10" t="s">
        <v>58</v>
      </c>
      <c r="B66" s="16">
        <v>479.12128525528072</v>
      </c>
      <c r="C66" s="16">
        <v>509.06808899766224</v>
      </c>
      <c r="D66" s="16">
        <v>547.45817455495614</v>
      </c>
      <c r="E66" s="16">
        <v>551.57197323273704</v>
      </c>
      <c r="F66" s="16">
        <v>554.32119640470523</v>
      </c>
      <c r="G66" s="16">
        <v>586.08558055127355</v>
      </c>
      <c r="H66" s="16">
        <v>529.7089165000092</v>
      </c>
      <c r="I66" s="16">
        <v>541.7983245269246</v>
      </c>
      <c r="J66" s="16">
        <v>589.48630773782736</v>
      </c>
      <c r="K66" s="16">
        <v>591.73616782065631</v>
      </c>
      <c r="L66" s="16">
        <v>547.77069965029864</v>
      </c>
      <c r="M66" s="16">
        <v>548.27774458170495</v>
      </c>
      <c r="N66" s="16">
        <v>555.1799934407444</v>
      </c>
      <c r="O66" s="16">
        <v>565.74267023150674</v>
      </c>
      <c r="P66" s="16">
        <v>528.94500008137163</v>
      </c>
      <c r="Q66" s="16">
        <v>515.81793472972413</v>
      </c>
      <c r="R66" s="40">
        <f t="shared" si="34"/>
        <v>541.59810457238621</v>
      </c>
      <c r="S66" s="17">
        <v>567.37827441504828</v>
      </c>
      <c r="T66" s="16">
        <v>460.80304330629485</v>
      </c>
      <c r="U66" s="16">
        <v>509.82710356764312</v>
      </c>
      <c r="V66" s="16">
        <v>503.33544116453459</v>
      </c>
      <c r="W66" s="16">
        <v>540.47801360465508</v>
      </c>
      <c r="X66" s="16">
        <v>483.23528072012965</v>
      </c>
      <c r="Y66" s="16">
        <v>472.60466068010254</v>
      </c>
      <c r="Z66" s="16">
        <v>513.86933975837746</v>
      </c>
      <c r="AA66" s="16">
        <v>535.59390777634951</v>
      </c>
      <c r="AB66" s="16">
        <v>513.99378135632855</v>
      </c>
      <c r="AC66" s="16">
        <v>564.69858385961868</v>
      </c>
      <c r="AD66" s="16">
        <v>547.57618767367865</v>
      </c>
      <c r="AE66" s="16">
        <v>515.92327718981937</v>
      </c>
      <c r="AF66" s="16">
        <v>546.07947957227464</v>
      </c>
      <c r="AG66" s="19">
        <v>543.59576829314358</v>
      </c>
      <c r="AH66" s="19">
        <v>562.59574555060522</v>
      </c>
      <c r="AI66" s="19">
        <v>543.89279385607733</v>
      </c>
      <c r="AJ66" s="19">
        <v>481.07597789428144</v>
      </c>
      <c r="AK66" s="19">
        <v>460.1825490294741</v>
      </c>
      <c r="AL66" s="19">
        <v>546.67331062709422</v>
      </c>
      <c r="AM66" s="19">
        <v>459.39807784924449</v>
      </c>
      <c r="AN66" s="19">
        <v>515.89382316862225</v>
      </c>
      <c r="AO66" s="19">
        <v>441.72058360229966</v>
      </c>
      <c r="AP66" s="19">
        <v>519.15783525879351</v>
      </c>
      <c r="AQ66" s="19">
        <v>513.55594311791504</v>
      </c>
      <c r="AR66" s="19">
        <v>483.91378784676471</v>
      </c>
      <c r="AS66" s="19">
        <v>489.74216904937379</v>
      </c>
      <c r="AT66" s="19">
        <v>528.70955770869057</v>
      </c>
      <c r="AU66" s="19">
        <v>505.83191666682416</v>
      </c>
      <c r="AV66" s="19">
        <v>469.47946987297792</v>
      </c>
      <c r="AW66" s="19">
        <v>452.61931252150367</v>
      </c>
      <c r="AX66" s="40">
        <f t="shared" si="35"/>
        <v>466.88304192728992</v>
      </c>
      <c r="AY66" s="40">
        <f t="shared" si="36"/>
        <v>474.01490663018308</v>
      </c>
      <c r="AZ66" s="40">
        <f t="shared" si="37"/>
        <v>477.58083898162965</v>
      </c>
      <c r="BA66" s="19">
        <v>481.14677133307617</v>
      </c>
      <c r="BB66" s="19">
        <v>492.77506946669183</v>
      </c>
      <c r="BC66" s="19">
        <v>471.92292403530178</v>
      </c>
      <c r="BD66" s="19">
        <v>454.82572229736712</v>
      </c>
      <c r="BE66" s="19">
        <v>499.75999414671884</v>
      </c>
      <c r="BF66" s="19">
        <v>556.71782748275518</v>
      </c>
      <c r="BG66" s="19">
        <v>518.42705075562105</v>
      </c>
      <c r="BH66" s="19">
        <v>572.77907362953056</v>
      </c>
      <c r="BI66" s="19">
        <v>479.29557358355095</v>
      </c>
      <c r="BJ66" s="19">
        <v>532.82566230032273</v>
      </c>
      <c r="BK66" s="19">
        <v>574.42922805371427</v>
      </c>
      <c r="BL66" s="19">
        <v>548.274</v>
      </c>
      <c r="BM66" s="19">
        <v>497.91399999999999</v>
      </c>
      <c r="BN66" s="19">
        <v>570.16598954060726</v>
      </c>
      <c r="BO66" s="19">
        <v>578.26900000000001</v>
      </c>
      <c r="BP66" s="19">
        <v>653.31399999999996</v>
      </c>
      <c r="BQ66" s="19">
        <v>358.46199999999999</v>
      </c>
      <c r="BR66" s="19">
        <v>463.19600000000003</v>
      </c>
      <c r="BS66" s="19">
        <v>527.25199999999995</v>
      </c>
      <c r="BT66" s="19">
        <v>485.09500000000003</v>
      </c>
      <c r="BU66" s="19">
        <v>473.20499999999998</v>
      </c>
      <c r="BV66" s="19">
        <v>460.892</v>
      </c>
      <c r="BW66" s="19">
        <v>501.75200000000001</v>
      </c>
      <c r="BX66" s="19">
        <v>622.95453291653689</v>
      </c>
      <c r="BY66" s="19">
        <v>621.62921891249027</v>
      </c>
      <c r="BZ66" s="19">
        <v>593.2934770320071</v>
      </c>
      <c r="CA66" s="19">
        <v>597.9530277837049</v>
      </c>
      <c r="CB66" s="19">
        <v>614.4653322700641</v>
      </c>
      <c r="CC66" s="19">
        <v>643.6628204250826</v>
      </c>
      <c r="CD66" s="19">
        <v>710.05516612906285</v>
      </c>
      <c r="CE66" s="19">
        <v>543.27662214945838</v>
      </c>
      <c r="CF66" s="19">
        <v>144.90893031099137</v>
      </c>
      <c r="CG66" s="19">
        <v>636.94052721020148</v>
      </c>
      <c r="CH66" s="19">
        <v>605.00110624072215</v>
      </c>
      <c r="CI66" s="19">
        <v>704.12279047004199</v>
      </c>
      <c r="CJ66" s="19">
        <v>631.54215300074361</v>
      </c>
    </row>
    <row r="67" spans="1:88" ht="20.149999999999999" customHeight="1" x14ac:dyDescent="0.25">
      <c r="A67" s="10" t="s">
        <v>59</v>
      </c>
      <c r="B67" s="16">
        <v>470.22149851102915</v>
      </c>
      <c r="C67" s="16">
        <v>490.46213289392324</v>
      </c>
      <c r="D67" s="16">
        <v>448.53102940898754</v>
      </c>
      <c r="E67" s="16">
        <v>468.61673918400862</v>
      </c>
      <c r="F67" s="16">
        <v>435.17826135124159</v>
      </c>
      <c r="G67" s="16">
        <v>494.62048514640838</v>
      </c>
      <c r="H67" s="16">
        <v>450.62305566775188</v>
      </c>
      <c r="I67" s="16">
        <v>520.39119379870078</v>
      </c>
      <c r="J67" s="16">
        <v>442.37795782895381</v>
      </c>
      <c r="K67" s="16">
        <v>464.02387141179167</v>
      </c>
      <c r="L67" s="16">
        <v>416.8838460621879</v>
      </c>
      <c r="M67" s="16">
        <v>469.95264545822801</v>
      </c>
      <c r="N67" s="16">
        <v>444.93118294703106</v>
      </c>
      <c r="O67" s="16">
        <v>449.77323334933362</v>
      </c>
      <c r="P67" s="16">
        <v>470.61798457297931</v>
      </c>
      <c r="Q67" s="16">
        <v>462.20632677425675</v>
      </c>
      <c r="R67" s="40">
        <f t="shared" si="34"/>
        <v>464.17668267361762</v>
      </c>
      <c r="S67" s="17">
        <v>466.14703857297849</v>
      </c>
      <c r="T67" s="16">
        <v>443.26914167587279</v>
      </c>
      <c r="U67" s="16">
        <v>417.50294355300548</v>
      </c>
      <c r="V67" s="16">
        <v>420.80649924151157</v>
      </c>
      <c r="W67" s="16">
        <v>438.23927090594742</v>
      </c>
      <c r="X67" s="16">
        <v>413.18303152018757</v>
      </c>
      <c r="Y67" s="16">
        <v>459.55926512993261</v>
      </c>
      <c r="Z67" s="16">
        <v>418.03037729540608</v>
      </c>
      <c r="AA67" s="16">
        <v>457.30734330896763</v>
      </c>
      <c r="AB67" s="16">
        <v>396.72197213910391</v>
      </c>
      <c r="AC67" s="16">
        <v>422.97063670178596</v>
      </c>
      <c r="AD67" s="16">
        <v>419.95191393308437</v>
      </c>
      <c r="AE67" s="16">
        <v>393.62095710342982</v>
      </c>
      <c r="AF67" s="16">
        <v>402.63609230536116</v>
      </c>
      <c r="AG67" s="19">
        <v>458.57629877763958</v>
      </c>
      <c r="AH67" s="19">
        <v>448.14760036951151</v>
      </c>
      <c r="AI67" s="19">
        <v>402.7337644284957</v>
      </c>
      <c r="AJ67" s="19">
        <v>396.83293108244521</v>
      </c>
      <c r="AK67" s="19">
        <v>413.70214445780306</v>
      </c>
      <c r="AL67" s="19">
        <v>431.29912466941664</v>
      </c>
      <c r="AM67" s="19">
        <v>454.13684051759151</v>
      </c>
      <c r="AN67" s="19">
        <v>367.22664684746979</v>
      </c>
      <c r="AO67" s="19">
        <v>453.46237026273889</v>
      </c>
      <c r="AP67" s="19">
        <v>452.89288933313537</v>
      </c>
      <c r="AQ67" s="19">
        <v>444.7572780771103</v>
      </c>
      <c r="AR67" s="19">
        <v>369.73113358120781</v>
      </c>
      <c r="AS67" s="19">
        <v>375.35908189959986</v>
      </c>
      <c r="AT67" s="19">
        <v>380.0556305158363</v>
      </c>
      <c r="AU67" s="19">
        <v>389.71999617134293</v>
      </c>
      <c r="AV67" s="19">
        <v>334.99739543125838</v>
      </c>
      <c r="AW67" s="19">
        <v>396.77370373770924</v>
      </c>
      <c r="AX67" s="40">
        <f t="shared" si="35"/>
        <v>384.14929611251728</v>
      </c>
      <c r="AY67" s="40">
        <f t="shared" si="36"/>
        <v>377.83709229992132</v>
      </c>
      <c r="AZ67" s="40">
        <f t="shared" si="37"/>
        <v>374.68099039362335</v>
      </c>
      <c r="BA67" s="19">
        <v>371.52488848732537</v>
      </c>
      <c r="BB67" s="19">
        <v>380.55976193527897</v>
      </c>
      <c r="BC67" s="19">
        <v>366.39617193384794</v>
      </c>
      <c r="BD67" s="19">
        <v>353.12207790596091</v>
      </c>
      <c r="BE67" s="19">
        <v>441.88126814565146</v>
      </c>
      <c r="BF67" s="19">
        <v>393.9681247629801</v>
      </c>
      <c r="BG67" s="19">
        <v>425.44300767913234</v>
      </c>
      <c r="BH67" s="19">
        <v>341.71755712492768</v>
      </c>
      <c r="BI67" s="19">
        <v>399.41401293603127</v>
      </c>
      <c r="BJ67" s="19">
        <v>376.60262384960311</v>
      </c>
      <c r="BK67" s="19">
        <v>393.65561571618878</v>
      </c>
      <c r="BL67" s="19">
        <v>387.86900000000003</v>
      </c>
      <c r="BM67" s="19">
        <v>447.45</v>
      </c>
      <c r="BN67" s="19">
        <v>401.64413862805696</v>
      </c>
      <c r="BO67" s="19">
        <v>424.67599999999999</v>
      </c>
      <c r="BP67" s="19">
        <v>389.28</v>
      </c>
      <c r="BQ67" s="19">
        <v>207.6</v>
      </c>
      <c r="BR67" s="19">
        <v>244.02600000000001</v>
      </c>
      <c r="BS67" s="19">
        <v>345.75299999999999</v>
      </c>
      <c r="BT67" s="19">
        <v>273.19400000000002</v>
      </c>
      <c r="BU67" s="19">
        <v>339.70600000000002</v>
      </c>
      <c r="BV67" s="19">
        <v>405.60300000000001</v>
      </c>
      <c r="BW67" s="19">
        <v>381.30399999999997</v>
      </c>
      <c r="BX67" s="19">
        <v>442.41373631030484</v>
      </c>
      <c r="BY67" s="19">
        <v>457.83254429965365</v>
      </c>
      <c r="BZ67" s="19">
        <v>544.3465250937179</v>
      </c>
      <c r="CA67" s="19">
        <v>503.88856869363758</v>
      </c>
      <c r="CB67" s="19">
        <v>461.89758337986365</v>
      </c>
      <c r="CC67" s="19">
        <v>450.60831757447073</v>
      </c>
      <c r="CD67" s="19">
        <v>466.06866432680675</v>
      </c>
      <c r="CE67" s="19">
        <v>531.13937981498566</v>
      </c>
      <c r="CF67" s="19">
        <v>110.12885354284175</v>
      </c>
      <c r="CG67" s="19">
        <v>458.16133493427901</v>
      </c>
      <c r="CH67" s="19">
        <v>501.11362085094521</v>
      </c>
      <c r="CI67" s="19">
        <v>528.03975012795229</v>
      </c>
      <c r="CJ67" s="19">
        <v>532.32483911495137</v>
      </c>
    </row>
    <row r="68" spans="1:88" ht="20.149999999999999" customHeight="1" thickBot="1" x14ac:dyDescent="0.3">
      <c r="A68" s="20" t="s">
        <v>60</v>
      </c>
      <c r="B68" s="21">
        <v>308.73302259925572</v>
      </c>
      <c r="C68" s="21">
        <v>355.21531719782632</v>
      </c>
      <c r="D68" s="21">
        <v>297.17306698153703</v>
      </c>
      <c r="E68" s="21">
        <v>353.34268748531713</v>
      </c>
      <c r="F68" s="21">
        <v>298.33362350025504</v>
      </c>
      <c r="G68" s="21">
        <v>349.36032692599912</v>
      </c>
      <c r="H68" s="21">
        <v>322.06694404630508</v>
      </c>
      <c r="I68" s="21">
        <v>328.85607454289106</v>
      </c>
      <c r="J68" s="21">
        <v>336.02400715023242</v>
      </c>
      <c r="K68" s="21">
        <v>317.50274613939916</v>
      </c>
      <c r="L68" s="21">
        <v>311.1881030977608</v>
      </c>
      <c r="M68" s="21">
        <v>356.06298039379465</v>
      </c>
      <c r="N68" s="21">
        <v>299.26193679463444</v>
      </c>
      <c r="O68" s="21">
        <v>334.94447613145383</v>
      </c>
      <c r="P68" s="21">
        <v>297.46859000678324</v>
      </c>
      <c r="Q68" s="21">
        <v>322.04533302739469</v>
      </c>
      <c r="R68" s="40">
        <f t="shared" si="34"/>
        <v>318.85713781796062</v>
      </c>
      <c r="S68" s="22">
        <v>315.66894260852655</v>
      </c>
      <c r="T68" s="21">
        <v>273.24382906371824</v>
      </c>
      <c r="U68" s="21">
        <v>280.11650186019352</v>
      </c>
      <c r="V68" s="21">
        <v>247.46582751747545</v>
      </c>
      <c r="W68" s="21">
        <v>318.44217753334271</v>
      </c>
      <c r="X68" s="21">
        <v>255.56648902161436</v>
      </c>
      <c r="Y68" s="21">
        <v>277.08575038431599</v>
      </c>
      <c r="Z68" s="21">
        <v>254.27578988234356</v>
      </c>
      <c r="AA68" s="21">
        <v>277.68109044001102</v>
      </c>
      <c r="AB68" s="21">
        <v>265.2780190628302</v>
      </c>
      <c r="AC68" s="21">
        <v>304.44349834538087</v>
      </c>
      <c r="AD68" s="21">
        <v>253.56332010148037</v>
      </c>
      <c r="AE68" s="21">
        <v>267.04988445570638</v>
      </c>
      <c r="AF68" s="21">
        <v>247.8373075347987</v>
      </c>
      <c r="AG68" s="21">
        <v>248.03977125997895</v>
      </c>
      <c r="AH68" s="21">
        <v>272.24059966777929</v>
      </c>
      <c r="AI68" s="21">
        <v>292.5476008988656</v>
      </c>
      <c r="AJ68" s="21">
        <v>271.42868265689253</v>
      </c>
      <c r="AK68" s="21">
        <v>280.21578889633457</v>
      </c>
      <c r="AL68" s="21">
        <v>250.0044672324197</v>
      </c>
      <c r="AM68" s="21">
        <v>302.24702736205916</v>
      </c>
      <c r="AN68" s="21">
        <v>252.31248031295831</v>
      </c>
      <c r="AO68" s="21">
        <v>289.21983187451082</v>
      </c>
      <c r="AP68" s="21">
        <v>248.50000015763288</v>
      </c>
      <c r="AQ68" s="21">
        <v>255.97476735196167</v>
      </c>
      <c r="AR68" s="21">
        <v>279.72982136093515</v>
      </c>
      <c r="AS68" s="21">
        <v>230.77509239463612</v>
      </c>
      <c r="AT68" s="21">
        <v>218.4239397466734</v>
      </c>
      <c r="AU68" s="21">
        <v>282.21597244311755</v>
      </c>
      <c r="AV68" s="21">
        <v>260.73632571044959</v>
      </c>
      <c r="AW68" s="21">
        <v>235.56015587524536</v>
      </c>
      <c r="AX68" s="40">
        <f t="shared" si="35"/>
        <v>237.11170562188636</v>
      </c>
      <c r="AY68" s="40">
        <f t="shared" si="36"/>
        <v>237.88748049520686</v>
      </c>
      <c r="AZ68" s="40">
        <f t="shared" si="37"/>
        <v>238.27536793186709</v>
      </c>
      <c r="BA68" s="31">
        <v>238.66325536852736</v>
      </c>
      <c r="BB68" s="31">
        <v>228.06384323691188</v>
      </c>
      <c r="BC68" s="31">
        <v>266.28477122559093</v>
      </c>
      <c r="BD68" s="31">
        <v>256.63759321937238</v>
      </c>
      <c r="BE68" s="31">
        <v>279.88486673842732</v>
      </c>
      <c r="BF68" s="31">
        <v>228.77042596777591</v>
      </c>
      <c r="BG68" s="31">
        <v>263.91224033426278</v>
      </c>
      <c r="BH68" s="31">
        <v>222.51698955892689</v>
      </c>
      <c r="BI68" s="31">
        <v>302.79214026174941</v>
      </c>
      <c r="BJ68" s="31">
        <v>225.7950232865355</v>
      </c>
      <c r="BK68" s="31">
        <v>321.13992330500389</v>
      </c>
      <c r="BL68" s="31">
        <v>271.56</v>
      </c>
      <c r="BM68" s="31">
        <v>295.851</v>
      </c>
      <c r="BN68" s="31">
        <v>271.22029743125785</v>
      </c>
      <c r="BO68" s="31">
        <v>317.52699999999999</v>
      </c>
      <c r="BP68" s="31">
        <v>256.82299999999998</v>
      </c>
      <c r="BQ68" s="31">
        <v>173.155</v>
      </c>
      <c r="BR68" s="31">
        <v>217.001</v>
      </c>
      <c r="BS68" s="31">
        <v>250.81399999999999</v>
      </c>
      <c r="BT68" s="31">
        <v>247.90299999999999</v>
      </c>
      <c r="BU68" s="31">
        <v>228.67599999999999</v>
      </c>
      <c r="BV68" s="31">
        <v>286.33999999999997</v>
      </c>
      <c r="BW68" s="31">
        <v>243.72</v>
      </c>
      <c r="BX68" s="31">
        <v>266.66238535119658</v>
      </c>
      <c r="BY68" s="31">
        <v>346.08218211783503</v>
      </c>
      <c r="BZ68" s="31">
        <v>313.01340683119565</v>
      </c>
      <c r="CA68" s="31">
        <v>356.97521243855971</v>
      </c>
      <c r="CB68" s="31">
        <v>284.01694251034917</v>
      </c>
      <c r="CC68" s="31">
        <v>336.95777703440058</v>
      </c>
      <c r="CD68" s="31">
        <v>347.56369936135889</v>
      </c>
      <c r="CE68" s="31">
        <v>332.96596572367366</v>
      </c>
      <c r="CF68" s="31">
        <v>57.409616939441051</v>
      </c>
      <c r="CG68" s="31">
        <v>314.33486041429455</v>
      </c>
      <c r="CH68" s="31">
        <v>338.36526521857598</v>
      </c>
      <c r="CI68" s="31">
        <v>327.79763446340445</v>
      </c>
      <c r="CJ68" s="31">
        <v>327.34344315334567</v>
      </c>
    </row>
    <row r="70" spans="1:88" ht="21" customHeight="1" x14ac:dyDescent="0.25">
      <c r="A70" s="46" t="s">
        <v>48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23"/>
      <c r="AK70" s="23"/>
      <c r="AL70" s="23"/>
      <c r="AM70" s="23"/>
      <c r="AN70" s="23"/>
      <c r="AO70" s="23"/>
    </row>
    <row r="71" spans="1:88" s="12" customFormat="1" ht="24" customHeight="1" x14ac:dyDescent="0.25">
      <c r="A71" s="47" t="s">
        <v>148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</row>
    <row r="72" spans="1:88" ht="24" customHeight="1" x14ac:dyDescent="0.25">
      <c r="A72" s="46" t="s">
        <v>149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23"/>
      <c r="V72" s="23"/>
      <c r="W72" s="23"/>
      <c r="X72" s="23"/>
      <c r="Y72" s="23"/>
      <c r="Z72" s="23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</row>
    <row r="73" spans="1:88" s="12" customFormat="1" ht="24" customHeight="1" x14ac:dyDescent="0.25">
      <c r="A73" s="26" t="s">
        <v>150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 spans="1:88" s="12" customFormat="1" ht="24" customHeight="1" x14ac:dyDescent="0.25">
      <c r="A74" s="26" t="s">
        <v>151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88" s="12" customFormat="1" ht="21" customHeight="1" x14ac:dyDescent="0.25">
      <c r="A75" s="41" t="s">
        <v>152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24"/>
      <c r="AK75" s="24"/>
      <c r="AL75" s="24"/>
      <c r="AM75" s="24"/>
      <c r="AN75" s="24"/>
      <c r="AO75" s="24"/>
    </row>
    <row r="76" spans="1:88" ht="30" customHeight="1" x14ac:dyDescent="0.25">
      <c r="A76" s="42" t="s">
        <v>159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9"/>
      <c r="AK76" s="9"/>
      <c r="AL76" s="9"/>
      <c r="AM76" s="9"/>
      <c r="AN76" s="9"/>
      <c r="AO76" s="9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</row>
  </sheetData>
  <mergeCells count="8">
    <mergeCell ref="A75:AI75"/>
    <mergeCell ref="A76:AI76"/>
    <mergeCell ref="A1:AI1"/>
    <mergeCell ref="A3:AI3"/>
    <mergeCell ref="A70:AI70"/>
    <mergeCell ref="A71:AH71"/>
    <mergeCell ref="A72:T72"/>
    <mergeCell ref="A2:S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BEL</vt:lpstr>
      <vt:lpstr>BEL!Área_de_impresión</vt:lpstr>
    </vt:vector>
  </TitlesOfParts>
  <Company>MTSS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MTSS</dc:creator>
  <cp:lastModifiedBy>WGekko</cp:lastModifiedBy>
  <cp:lastPrinted>2011-03-10T14:11:19Z</cp:lastPrinted>
  <dcterms:created xsi:type="dcterms:W3CDTF">2006-08-14T23:09:57Z</dcterms:created>
  <dcterms:modified xsi:type="dcterms:W3CDTF">2025-11-05T20:42:06Z</dcterms:modified>
</cp:coreProperties>
</file>