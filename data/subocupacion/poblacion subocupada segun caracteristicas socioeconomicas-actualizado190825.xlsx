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Gekko\Documents\app-trabajo\data\subocupacion\"/>
    </mc:Choice>
  </mc:AlternateContent>
  <bookViews>
    <workbookView xWindow="0" yWindow="0" windowWidth="21580" windowHeight="8150"/>
  </bookViews>
  <sheets>
    <sheet name="BEL" sheetId="1" r:id="rId1"/>
  </sheets>
  <definedNames>
    <definedName name="_xlnm.Print_Area" localSheetId="0">BEL!$A$1:$BE$64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X56" i="1" l="1"/>
  <c r="AY56" i="1" s="1"/>
  <c r="AZ56" i="1" s="1"/>
  <c r="AX55" i="1"/>
  <c r="AY55" i="1" s="1"/>
  <c r="AZ55" i="1" s="1"/>
  <c r="AY54" i="1"/>
  <c r="AZ54" i="1" s="1"/>
  <c r="AX54" i="1"/>
  <c r="AX53" i="1"/>
  <c r="AY53" i="1" s="1"/>
  <c r="AZ53" i="1" s="1"/>
  <c r="AX52" i="1"/>
  <c r="AY52" i="1" s="1"/>
  <c r="AZ52" i="1" s="1"/>
  <c r="AX50" i="1"/>
  <c r="AY50" i="1" s="1"/>
  <c r="AZ50" i="1" s="1"/>
  <c r="AX49" i="1"/>
  <c r="AY49" i="1" s="1"/>
  <c r="AZ49" i="1" s="1"/>
  <c r="AX48" i="1"/>
  <c r="AY48" i="1" s="1"/>
  <c r="AZ48" i="1" s="1"/>
  <c r="AY47" i="1"/>
  <c r="AZ47" i="1" s="1"/>
  <c r="AX47" i="1"/>
  <c r="AY45" i="1"/>
  <c r="AZ45" i="1" s="1"/>
  <c r="AX45" i="1"/>
  <c r="AX44" i="1"/>
  <c r="AY44" i="1" s="1"/>
  <c r="AZ44" i="1" s="1"/>
  <c r="AY43" i="1"/>
  <c r="AZ43" i="1" s="1"/>
  <c r="AX43" i="1"/>
  <c r="AX42" i="1"/>
  <c r="AY42" i="1" s="1"/>
  <c r="AZ42" i="1" s="1"/>
  <c r="AX40" i="1"/>
  <c r="AY40" i="1" s="1"/>
  <c r="AZ40" i="1" s="1"/>
  <c r="AX39" i="1"/>
  <c r="AY39" i="1" s="1"/>
  <c r="AZ39" i="1" s="1"/>
  <c r="AY38" i="1"/>
  <c r="AZ38" i="1" s="1"/>
  <c r="AX38" i="1"/>
  <c r="AX37" i="1"/>
  <c r="AY37" i="1" s="1"/>
  <c r="AZ37" i="1" s="1"/>
  <c r="AX36" i="1"/>
  <c r="AY36" i="1" s="1"/>
  <c r="AZ36" i="1" s="1"/>
  <c r="AX35" i="1"/>
  <c r="AY35" i="1" s="1"/>
  <c r="AZ35" i="1" s="1"/>
  <c r="AX34" i="1"/>
  <c r="AY34" i="1" s="1"/>
  <c r="AZ34" i="1" s="1"/>
  <c r="AX33" i="1"/>
  <c r="AY33" i="1" s="1"/>
  <c r="AZ33" i="1" s="1"/>
  <c r="AX32" i="1"/>
  <c r="AY32" i="1" s="1"/>
  <c r="AZ32" i="1" s="1"/>
  <c r="AX31" i="1"/>
  <c r="AY31" i="1" s="1"/>
  <c r="AZ31" i="1" s="1"/>
  <c r="AY30" i="1"/>
  <c r="AZ30" i="1" s="1"/>
  <c r="AX30" i="1"/>
  <c r="AX29" i="1"/>
  <c r="AY29" i="1" s="1"/>
  <c r="AZ29" i="1" s="1"/>
  <c r="AX28" i="1"/>
  <c r="AY28" i="1" s="1"/>
  <c r="AZ28" i="1" s="1"/>
  <c r="AX26" i="1"/>
  <c r="AY26" i="1" s="1"/>
  <c r="AZ26" i="1" s="1"/>
  <c r="AX25" i="1"/>
  <c r="AY25" i="1" s="1"/>
  <c r="AZ25" i="1" s="1"/>
  <c r="AY24" i="1"/>
  <c r="AZ24" i="1" s="1"/>
  <c r="AX24" i="1"/>
  <c r="AY23" i="1"/>
  <c r="AZ23" i="1" s="1"/>
  <c r="AX23" i="1"/>
  <c r="AX22" i="1"/>
  <c r="AY22" i="1" s="1"/>
  <c r="AZ22" i="1" s="1"/>
  <c r="AX21" i="1"/>
  <c r="AY21" i="1" s="1"/>
  <c r="AZ21" i="1" s="1"/>
  <c r="AX19" i="1"/>
  <c r="AY19" i="1" s="1"/>
  <c r="AZ19" i="1" s="1"/>
  <c r="AX18" i="1"/>
  <c r="AY18" i="1" s="1"/>
  <c r="AZ18" i="1" s="1"/>
  <c r="AX17" i="1"/>
  <c r="AY17" i="1" s="1"/>
  <c r="AZ17" i="1" s="1"/>
  <c r="AY16" i="1"/>
  <c r="AZ16" i="1" s="1"/>
  <c r="AX16" i="1"/>
  <c r="AX14" i="1"/>
  <c r="AY14" i="1" s="1"/>
  <c r="AZ14" i="1" s="1"/>
  <c r="AX13" i="1"/>
  <c r="AY13" i="1" s="1"/>
  <c r="AZ13" i="1" s="1"/>
  <c r="AY12" i="1"/>
  <c r="AZ12" i="1" s="1"/>
  <c r="AX12" i="1"/>
  <c r="AY11" i="1"/>
  <c r="AZ11" i="1" s="1"/>
  <c r="AX11" i="1"/>
  <c r="AX10" i="1"/>
  <c r="AY10" i="1" s="1"/>
  <c r="AZ10" i="1" s="1"/>
  <c r="AX8" i="1"/>
  <c r="AY8" i="1" s="1"/>
  <c r="AZ8" i="1" s="1"/>
  <c r="AX7" i="1"/>
  <c r="AY7" i="1" s="1"/>
  <c r="AZ7" i="1" s="1"/>
  <c r="AX5" i="1"/>
  <c r="AY5" i="1" s="1"/>
  <c r="AZ5" i="1" s="1"/>
  <c r="R56" i="1"/>
  <c r="R55" i="1"/>
  <c r="R54" i="1"/>
  <c r="R53" i="1"/>
  <c r="R52" i="1"/>
  <c r="R50" i="1"/>
  <c r="R49" i="1"/>
  <c r="R48" i="1"/>
  <c r="R47" i="1"/>
  <c r="R45" i="1"/>
  <c r="R44" i="1"/>
  <c r="R43" i="1"/>
  <c r="R42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6" i="1"/>
  <c r="R25" i="1"/>
  <c r="R24" i="1"/>
  <c r="R23" i="1"/>
  <c r="R22" i="1"/>
  <c r="R21" i="1"/>
  <c r="R19" i="1"/>
  <c r="R18" i="1"/>
  <c r="R17" i="1"/>
  <c r="R16" i="1"/>
  <c r="R14" i="1"/>
  <c r="R13" i="1"/>
  <c r="R12" i="1"/>
  <c r="R11" i="1"/>
  <c r="R10" i="1"/>
  <c r="R8" i="1"/>
  <c r="R7" i="1"/>
  <c r="R5" i="1"/>
</calcChain>
</file>

<file path=xl/sharedStrings.xml><?xml version="1.0" encoding="utf-8"?>
<sst xmlns="http://schemas.openxmlformats.org/spreadsheetml/2006/main" count="152" uniqueCount="151">
  <si>
    <t>Mercado de trabajo - EPH</t>
  </si>
  <si>
    <t>Total</t>
  </si>
  <si>
    <t>Sexo</t>
  </si>
  <si>
    <t>Varones</t>
  </si>
  <si>
    <t>Mujeres</t>
  </si>
  <si>
    <t>Hasta 24 años</t>
  </si>
  <si>
    <t>Entre 25 y 34 años</t>
  </si>
  <si>
    <t>Entre 35 y 49 años</t>
  </si>
  <si>
    <t>Entre 50 y 59 años</t>
  </si>
  <si>
    <t>60 años y más</t>
  </si>
  <si>
    <t>Posición en el hogar</t>
  </si>
  <si>
    <t>Jefe</t>
  </si>
  <si>
    <t>Cónyuge</t>
  </si>
  <si>
    <t>Hijo</t>
  </si>
  <si>
    <t>Otros</t>
  </si>
  <si>
    <t>Nivel educativo</t>
  </si>
  <si>
    <t>Hasta primario incompleto</t>
  </si>
  <si>
    <t>Primario completo</t>
  </si>
  <si>
    <t>Secundario incompleto</t>
  </si>
  <si>
    <t>Secundario completo</t>
  </si>
  <si>
    <t>Terc/univ incompleto</t>
  </si>
  <si>
    <t>Terc/univ completo</t>
  </si>
  <si>
    <t>Categoría ocupacional</t>
  </si>
  <si>
    <t>Patrón</t>
  </si>
  <si>
    <t>Cuenta propia</t>
  </si>
  <si>
    <t>Obrero o empleado</t>
  </si>
  <si>
    <t>Trabajador familiar</t>
  </si>
  <si>
    <t>Rama de actividad</t>
  </si>
  <si>
    <t>Actividades primarias</t>
  </si>
  <si>
    <t>Industria manufacturera</t>
  </si>
  <si>
    <t>Construcción</t>
  </si>
  <si>
    <t>Comercio</t>
  </si>
  <si>
    <t>Hoteles y restaurantes</t>
  </si>
  <si>
    <t>Transporte, almacenaje y comunicaciones</t>
  </si>
  <si>
    <t>Serv financieros, inmobiliarios, alquileres y empresariales</t>
  </si>
  <si>
    <t>Enseñanza</t>
  </si>
  <si>
    <t>Servicios sociales y de salud</t>
  </si>
  <si>
    <t>Otras ramas</t>
  </si>
  <si>
    <t>Sin especificar</t>
  </si>
  <si>
    <t>Calificación de la tarea</t>
  </si>
  <si>
    <t>Profesional</t>
  </si>
  <si>
    <t>Técnica</t>
  </si>
  <si>
    <t>Operativa</t>
  </si>
  <si>
    <t>Sin calificación</t>
  </si>
  <si>
    <t>Notas:</t>
  </si>
  <si>
    <t>3° Trim 03</t>
  </si>
  <si>
    <t>4° Trim 03</t>
  </si>
  <si>
    <t>1° Trim 04</t>
  </si>
  <si>
    <t>2° Trim 04</t>
  </si>
  <si>
    <t>3° Trim 04</t>
  </si>
  <si>
    <t>4° Trim 04</t>
  </si>
  <si>
    <t>1° Trim 05</t>
  </si>
  <si>
    <t>2° Trim 05</t>
  </si>
  <si>
    <t>3° Trim 05</t>
  </si>
  <si>
    <t>4° Trim 05</t>
  </si>
  <si>
    <t>1° Trim 06</t>
  </si>
  <si>
    <t>2° Trim 06</t>
  </si>
  <si>
    <t>3° Trim 06</t>
  </si>
  <si>
    <t>4° Trim 06</t>
  </si>
  <si>
    <t>1° Trim 07</t>
  </si>
  <si>
    <t>Ingreso per cápita familiar</t>
  </si>
  <si>
    <r>
      <t>1</t>
    </r>
    <r>
      <rPr>
        <vertAlign val="superscript"/>
        <sz val="10"/>
        <rFont val="Verdana"/>
        <family val="2"/>
      </rPr>
      <t>er</t>
    </r>
    <r>
      <rPr>
        <sz val="10"/>
        <rFont val="Verdana"/>
        <family val="2"/>
      </rPr>
      <t xml:space="preserve"> Quintil</t>
    </r>
  </si>
  <si>
    <t>2do Quintil</t>
  </si>
  <si>
    <t>3er Quintil</t>
  </si>
  <si>
    <t>4to Quintil</t>
  </si>
  <si>
    <t>5to Quintil</t>
  </si>
  <si>
    <t>…</t>
  </si>
  <si>
    <t>Grupos de edad</t>
  </si>
  <si>
    <t>Trabajo doméstico</t>
  </si>
  <si>
    <t>2° Trim 16</t>
  </si>
  <si>
    <t>3° Trim 16</t>
  </si>
  <si>
    <t>4° Trim 16</t>
  </si>
  <si>
    <t>1° Trim 17</t>
  </si>
  <si>
    <t>2° Trim 17</t>
  </si>
  <si>
    <t>3° Trim 17</t>
  </si>
  <si>
    <t>4° Trim 17</t>
  </si>
  <si>
    <t>1° Trim 18</t>
  </si>
  <si>
    <t>2° Trim 18</t>
  </si>
  <si>
    <t>3° Trim 18</t>
  </si>
  <si>
    <r>
      <t xml:space="preserve">2° Trim 07 </t>
    </r>
    <r>
      <rPr>
        <b/>
        <vertAlign val="superscript"/>
        <sz val="12"/>
        <rFont val="Arial"/>
        <family val="2"/>
      </rPr>
      <t>1</t>
    </r>
  </si>
  <si>
    <r>
      <t xml:space="preserve">3° Trim 07 </t>
    </r>
    <r>
      <rPr>
        <b/>
        <vertAlign val="superscript"/>
        <sz val="12"/>
        <rFont val="Arial"/>
        <family val="2"/>
      </rPr>
      <t>1 2</t>
    </r>
  </si>
  <si>
    <r>
      <t xml:space="preserve">4° Trim 07 </t>
    </r>
    <r>
      <rPr>
        <b/>
        <vertAlign val="superscript"/>
        <sz val="12"/>
        <rFont val="Arial"/>
        <family val="2"/>
      </rPr>
      <t>1</t>
    </r>
  </si>
  <si>
    <r>
      <t xml:space="preserve">1° Trim 08 </t>
    </r>
    <r>
      <rPr>
        <b/>
        <vertAlign val="superscript"/>
        <sz val="12"/>
        <rFont val="Arial"/>
        <family val="2"/>
      </rPr>
      <t>1</t>
    </r>
  </si>
  <si>
    <r>
      <t xml:space="preserve">2° Trim 08 </t>
    </r>
    <r>
      <rPr>
        <b/>
        <vertAlign val="superscript"/>
        <sz val="12"/>
        <rFont val="Arial"/>
        <family val="2"/>
      </rPr>
      <t>1</t>
    </r>
  </si>
  <si>
    <r>
      <t xml:space="preserve">3° Trim 08 </t>
    </r>
    <r>
      <rPr>
        <b/>
        <vertAlign val="superscript"/>
        <sz val="12"/>
        <rFont val="Arial"/>
        <family val="2"/>
      </rPr>
      <t>1</t>
    </r>
  </si>
  <si>
    <r>
      <t xml:space="preserve">4° Trim 08 </t>
    </r>
    <r>
      <rPr>
        <b/>
        <vertAlign val="superscript"/>
        <sz val="12"/>
        <rFont val="Arial"/>
        <family val="2"/>
      </rPr>
      <t>1</t>
    </r>
  </si>
  <si>
    <r>
      <t xml:space="preserve">1° Trim 09 </t>
    </r>
    <r>
      <rPr>
        <b/>
        <vertAlign val="superscript"/>
        <sz val="12"/>
        <rFont val="Arial"/>
        <family val="2"/>
      </rPr>
      <t>1</t>
    </r>
  </si>
  <si>
    <r>
      <t xml:space="preserve">2° Trim 09 </t>
    </r>
    <r>
      <rPr>
        <b/>
        <vertAlign val="superscript"/>
        <sz val="12"/>
        <rFont val="Arial"/>
        <family val="2"/>
      </rPr>
      <t>1</t>
    </r>
  </si>
  <si>
    <r>
      <t xml:space="preserve">3° Trim 09 </t>
    </r>
    <r>
      <rPr>
        <b/>
        <vertAlign val="superscript"/>
        <sz val="12"/>
        <rFont val="Arial"/>
        <family val="2"/>
      </rPr>
      <t>1</t>
    </r>
  </si>
  <si>
    <r>
      <t xml:space="preserve">4° Trim 09 </t>
    </r>
    <r>
      <rPr>
        <b/>
        <vertAlign val="superscript"/>
        <sz val="12"/>
        <rFont val="Arial"/>
        <family val="2"/>
      </rPr>
      <t>1</t>
    </r>
  </si>
  <si>
    <r>
      <t xml:space="preserve">1° Trim 10 </t>
    </r>
    <r>
      <rPr>
        <b/>
        <vertAlign val="superscript"/>
        <sz val="12"/>
        <rFont val="Arial"/>
        <family val="2"/>
      </rPr>
      <t>1</t>
    </r>
  </si>
  <si>
    <r>
      <t xml:space="preserve">2° Trim 10 </t>
    </r>
    <r>
      <rPr>
        <b/>
        <vertAlign val="superscript"/>
        <sz val="12"/>
        <rFont val="Arial"/>
        <family val="2"/>
      </rPr>
      <t>1</t>
    </r>
  </si>
  <si>
    <r>
      <t xml:space="preserve">3° Trim 10 </t>
    </r>
    <r>
      <rPr>
        <b/>
        <vertAlign val="superscript"/>
        <sz val="12"/>
        <rFont val="Arial"/>
        <family val="2"/>
      </rPr>
      <t>1</t>
    </r>
  </si>
  <si>
    <r>
      <t xml:space="preserve">4° Trim 10 </t>
    </r>
    <r>
      <rPr>
        <b/>
        <vertAlign val="superscript"/>
        <sz val="12"/>
        <rFont val="Arial"/>
        <family val="2"/>
      </rPr>
      <t>1</t>
    </r>
  </si>
  <si>
    <r>
      <t xml:space="preserve">1° Trim 11 </t>
    </r>
    <r>
      <rPr>
        <b/>
        <vertAlign val="superscript"/>
        <sz val="12"/>
        <rFont val="Arial"/>
        <family val="2"/>
      </rPr>
      <t>1</t>
    </r>
  </si>
  <si>
    <r>
      <t xml:space="preserve">2° Trim 11 </t>
    </r>
    <r>
      <rPr>
        <b/>
        <vertAlign val="superscript"/>
        <sz val="12"/>
        <rFont val="Arial"/>
        <family val="2"/>
      </rPr>
      <t>1</t>
    </r>
  </si>
  <si>
    <r>
      <t xml:space="preserve">3° Trim 11 </t>
    </r>
    <r>
      <rPr>
        <b/>
        <vertAlign val="superscript"/>
        <sz val="12"/>
        <rFont val="Arial"/>
        <family val="2"/>
      </rPr>
      <t>1</t>
    </r>
  </si>
  <si>
    <r>
      <t xml:space="preserve">4° Trim 11 </t>
    </r>
    <r>
      <rPr>
        <b/>
        <vertAlign val="superscript"/>
        <sz val="12"/>
        <rFont val="Arial"/>
        <family val="2"/>
      </rPr>
      <t>1</t>
    </r>
  </si>
  <si>
    <r>
      <t xml:space="preserve">1° Trim 12 </t>
    </r>
    <r>
      <rPr>
        <b/>
        <vertAlign val="superscript"/>
        <sz val="12"/>
        <rFont val="Arial"/>
        <family val="2"/>
      </rPr>
      <t>1</t>
    </r>
  </si>
  <si>
    <r>
      <t xml:space="preserve">2° Trim 12 </t>
    </r>
    <r>
      <rPr>
        <b/>
        <vertAlign val="superscript"/>
        <sz val="12"/>
        <rFont val="Arial"/>
        <family val="2"/>
      </rPr>
      <t>1</t>
    </r>
  </si>
  <si>
    <r>
      <t xml:space="preserve">3° Trim 12 </t>
    </r>
    <r>
      <rPr>
        <b/>
        <vertAlign val="superscript"/>
        <sz val="12"/>
        <rFont val="Arial"/>
        <family val="2"/>
      </rPr>
      <t>1</t>
    </r>
  </si>
  <si>
    <r>
      <t xml:space="preserve">4° Trim 12 </t>
    </r>
    <r>
      <rPr>
        <b/>
        <vertAlign val="superscript"/>
        <sz val="12"/>
        <rFont val="Arial"/>
        <family val="2"/>
      </rPr>
      <t>1</t>
    </r>
  </si>
  <si>
    <r>
      <t xml:space="preserve">1° Trim 13 </t>
    </r>
    <r>
      <rPr>
        <b/>
        <vertAlign val="superscript"/>
        <sz val="12"/>
        <rFont val="Arial"/>
        <family val="2"/>
      </rPr>
      <t>1</t>
    </r>
  </si>
  <si>
    <r>
      <t xml:space="preserve">2° Trim 13 </t>
    </r>
    <r>
      <rPr>
        <b/>
        <vertAlign val="superscript"/>
        <sz val="12"/>
        <rFont val="Arial"/>
        <family val="2"/>
      </rPr>
      <t>1</t>
    </r>
  </si>
  <si>
    <r>
      <t xml:space="preserve">3° Trim 13 </t>
    </r>
    <r>
      <rPr>
        <b/>
        <vertAlign val="superscript"/>
        <sz val="12"/>
        <rFont val="Arial"/>
        <family val="2"/>
      </rPr>
      <t>1</t>
    </r>
  </si>
  <si>
    <r>
      <t xml:space="preserve">4° Trim 13 </t>
    </r>
    <r>
      <rPr>
        <b/>
        <vertAlign val="superscript"/>
        <sz val="12"/>
        <rFont val="Arial"/>
        <family val="2"/>
      </rPr>
      <t>1</t>
    </r>
  </si>
  <si>
    <r>
      <t xml:space="preserve">1° Trim 14 </t>
    </r>
    <r>
      <rPr>
        <b/>
        <vertAlign val="superscript"/>
        <sz val="12"/>
        <rFont val="Arial"/>
        <family val="2"/>
      </rPr>
      <t>13</t>
    </r>
  </si>
  <si>
    <r>
      <t xml:space="preserve">2° Trim 14 </t>
    </r>
    <r>
      <rPr>
        <b/>
        <vertAlign val="superscript"/>
        <sz val="12"/>
        <rFont val="Arial"/>
        <family val="2"/>
      </rPr>
      <t>1</t>
    </r>
  </si>
  <si>
    <r>
      <t xml:space="preserve">3° Trim 14 </t>
    </r>
    <r>
      <rPr>
        <b/>
        <vertAlign val="superscript"/>
        <sz val="12"/>
        <rFont val="Arial"/>
        <family val="2"/>
      </rPr>
      <t>1</t>
    </r>
  </si>
  <si>
    <r>
      <t xml:space="preserve">4° Trim 14 </t>
    </r>
    <r>
      <rPr>
        <b/>
        <vertAlign val="superscript"/>
        <sz val="12"/>
        <rFont val="Arial"/>
        <family val="2"/>
      </rPr>
      <t>1</t>
    </r>
  </si>
  <si>
    <r>
      <t xml:space="preserve">1° Trim 15 </t>
    </r>
    <r>
      <rPr>
        <b/>
        <vertAlign val="superscript"/>
        <sz val="12"/>
        <rFont val="Arial"/>
        <family val="2"/>
      </rPr>
      <t>1</t>
    </r>
  </si>
  <si>
    <r>
      <t xml:space="preserve">2° Trim 15 </t>
    </r>
    <r>
      <rPr>
        <b/>
        <vertAlign val="superscript"/>
        <sz val="12"/>
        <rFont val="Arial"/>
        <family val="2"/>
      </rPr>
      <t>1</t>
    </r>
  </si>
  <si>
    <r>
      <t xml:space="preserve">3° Trim 15 </t>
    </r>
    <r>
      <rPr>
        <b/>
        <vertAlign val="superscript"/>
        <sz val="12"/>
        <rFont val="Arial"/>
        <family val="2"/>
      </rPr>
      <t>1 4</t>
    </r>
  </si>
  <si>
    <r>
      <t xml:space="preserve">4° Trim 15 </t>
    </r>
    <r>
      <rPr>
        <b/>
        <vertAlign val="superscript"/>
        <sz val="12"/>
        <rFont val="Arial"/>
        <family val="2"/>
      </rPr>
      <t>1 4</t>
    </r>
  </si>
  <si>
    <r>
      <t xml:space="preserve">1° Trim 16 </t>
    </r>
    <r>
      <rPr>
        <b/>
        <vertAlign val="superscript"/>
        <sz val="12"/>
        <rFont val="Arial"/>
        <family val="2"/>
      </rPr>
      <t>4</t>
    </r>
  </si>
  <si>
    <t>1. El INDEC ha dispuesto que las series estadísticas de la EPH del período comprendido entre el 2° trimestre de 2007 y hasta diciembre 2015 deben ser consideradas con reservas, conforme a la emergencia estadística (Decretos 181/15 y 55/16) . Ver "Consideración sobre la revisión, evaluación y recuperación de la EPH" publicado por INDEC el 23/8/2016.</t>
  </si>
  <si>
    <t>2. No se presenta la información correspondiente al 3° trimestre de 2007 debido a que en dicho trimestre no se relevaron algunos de los principales aglomerados de la EPH (GBA, Mar del Plata, Bahía Blanca y Gran La Plata).</t>
  </si>
  <si>
    <t>4. Información no disponible</t>
  </si>
  <si>
    <t>3. A partir del 1° trimestre de 2014 todas las viviendas seleccionadas para la EPH son extraídas de la Muestra Maestra Urbana de Viviendas (MMUVRA), basada en el CNPHV 2010, y todas las estimaciones finales se ajustan de acuerdo a las proyecciones de población del CNPHyV 2010. Esto produce cambios de diferente significación en relación a las estructuras de las poblaciones proyectadas lo cual impacta en las estimaciones sobre propiedades asociadas a la distribución por sexo o por edades. Las poblaciones ajustadas según las proyecciones del CNPHyV 2010 exhiben Tasas de actividad y de empleo menores que las ajustadas según las proyecciones del CNPHyV 2001. Es decir que las estimaciones de la EPH a partir del año 2014 no son estrictamente comparables con las anteriores.</t>
  </si>
  <si>
    <t>5. Incluye Administración pública y defensa, Asociaciones sindicales, empresariales y sociales, Servicios culturales y deportivos, entre otros.</t>
  </si>
  <si>
    <t>4° Trim 18</t>
  </si>
  <si>
    <r>
      <t xml:space="preserve">Otros servicios comunitarios, sociales y personales </t>
    </r>
    <r>
      <rPr>
        <vertAlign val="superscript"/>
        <sz val="10"/>
        <rFont val="Verdana"/>
        <family val="2"/>
      </rPr>
      <t>5</t>
    </r>
  </si>
  <si>
    <t>1° Trim 19</t>
  </si>
  <si>
    <t>2° Trim 19</t>
  </si>
  <si>
    <t>3° Trim 19</t>
  </si>
  <si>
    <t>4° Trim 19</t>
  </si>
  <si>
    <t>1° Trim 20</t>
  </si>
  <si>
    <t>2° Trim 20</t>
  </si>
  <si>
    <t>3° Trim 20</t>
  </si>
  <si>
    <t>4° Trim 20</t>
  </si>
  <si>
    <t>1° Trim 21</t>
  </si>
  <si>
    <t>2° Trim 21</t>
  </si>
  <si>
    <t>3° Trim 21</t>
  </si>
  <si>
    <t>4° Trim 21</t>
  </si>
  <si>
    <t>1° Trim 22</t>
  </si>
  <si>
    <t>2° Trim 22</t>
  </si>
  <si>
    <t>3° Trim 22</t>
  </si>
  <si>
    <t>4° Trim 22</t>
  </si>
  <si>
    <t>1° Trim 23</t>
  </si>
  <si>
    <t>2° Trim 23</t>
  </si>
  <si>
    <t>3° Trim 23</t>
  </si>
  <si>
    <t>4° Trim 23</t>
  </si>
  <si>
    <t>1° Trim 24</t>
  </si>
  <si>
    <t>Población subocupada según sexo, grupos de edad, posición en el hogar, nivel educativo, categoría ocupacional, rama de actividad, calificación de la tarea y quintil de ingreso per cápita familiar.</t>
  </si>
  <si>
    <r>
      <t xml:space="preserve">Total aglomerados relevados </t>
    </r>
    <r>
      <rPr>
        <b/>
        <i/>
        <sz val="11"/>
        <color indexed="9"/>
        <rFont val="Arial"/>
        <family val="2"/>
      </rPr>
      <t>(en miles de personas)</t>
    </r>
  </si>
  <si>
    <t>Fuente: STEySS - Dirección General de Estudios y Estadísticas Laborales, en base a EPH (INDEC).</t>
  </si>
  <si>
    <t>2° Trim 24</t>
  </si>
  <si>
    <t>3° Trim 24</t>
  </si>
  <si>
    <t>4° Trim 24</t>
  </si>
  <si>
    <t>1° Trim 25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</si>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</sst>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_ * #,##0_ ;_ * \-#,##0_ ;_ * &quot;-&quot;??_ ;_ @_ "/>
  </numFmts>
  <fonts count="14" x14ac:knownFonts="1">
    <font>
      <sz val="10"/>
      <color theme="1"/>
      <name val="Verdana"/>
      <family val="2"/>
    </font>
    <font>
      <sz val="10"/>
      <name val="Verdana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Verdana"/>
      <family val="2"/>
    </font>
    <font>
      <vertAlign val="superscript"/>
      <sz val="10"/>
      <name val="Verdana"/>
      <family val="2"/>
    </font>
    <font>
      <b/>
      <sz val="14"/>
      <color indexed="9"/>
      <name val="Arial"/>
      <family val="2"/>
    </font>
    <font>
      <b/>
      <sz val="11"/>
      <color indexed="9"/>
      <name val="Arial"/>
      <family val="2"/>
    </font>
    <font>
      <b/>
      <sz val="12"/>
      <name val="Arial"/>
      <family val="2"/>
    </font>
    <font>
      <sz val="10"/>
      <color indexed="9"/>
      <name val="Arial"/>
      <family val="2"/>
    </font>
    <font>
      <b/>
      <i/>
      <sz val="11"/>
      <color indexed="9"/>
      <name val="Arial"/>
      <family val="2"/>
    </font>
    <font>
      <b/>
      <sz val="10"/>
      <color theme="4"/>
      <name val="Arial"/>
      <family val="2"/>
    </font>
    <font>
      <sz val="10"/>
      <color indexed="8"/>
      <name val="Arial"/>
      <family val="2"/>
    </font>
    <font>
      <b/>
      <vertAlign val="superscript"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1" fillId="0" borderId="0"/>
  </cellStyleXfs>
  <cellXfs count="49">
    <xf numFmtId="0" fontId="0" fillId="0" borderId="0" xfId="0"/>
    <xf numFmtId="0" fontId="3" fillId="0" borderId="0" xfId="3" applyFont="1" applyAlignment="1">
      <alignment horizontal="center" vertical="center"/>
    </xf>
    <xf numFmtId="0" fontId="2" fillId="0" borderId="0" xfId="3" applyFont="1" applyAlignment="1">
      <alignment vertical="center"/>
    </xf>
    <xf numFmtId="0" fontId="6" fillId="2" borderId="0" xfId="2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165" fontId="3" fillId="0" borderId="1" xfId="1" applyNumberFormat="1" applyFont="1" applyBorder="1" applyAlignment="1">
      <alignment horizontal="left" vertical="center"/>
    </xf>
    <xf numFmtId="165" fontId="3" fillId="0" borderId="1" xfId="1" applyNumberFormat="1" applyFont="1" applyBorder="1" applyAlignment="1">
      <alignment horizontal="right" vertical="center"/>
    </xf>
    <xf numFmtId="165" fontId="3" fillId="0" borderId="0" xfId="1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165" fontId="3" fillId="0" borderId="2" xfId="1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5" fontId="3" fillId="0" borderId="2" xfId="1" applyNumberFormat="1" applyFont="1" applyBorder="1" applyAlignment="1">
      <alignment horizontal="left" vertical="center"/>
    </xf>
    <xf numFmtId="165" fontId="2" fillId="0" borderId="0" xfId="1" applyNumberFormat="1" applyFont="1" applyBorder="1" applyAlignment="1">
      <alignment horizontal="left" vertical="center" indent="1"/>
    </xf>
    <xf numFmtId="165" fontId="2" fillId="0" borderId="0" xfId="1" applyNumberFormat="1" applyFont="1" applyBorder="1" applyAlignment="1">
      <alignment vertical="center"/>
    </xf>
    <xf numFmtId="165" fontId="2" fillId="0" borderId="0" xfId="1" applyNumberFormat="1" applyFont="1" applyBorder="1" applyAlignment="1">
      <alignment horizontal="right" vertical="center"/>
    </xf>
    <xf numFmtId="165" fontId="3" fillId="0" borderId="1" xfId="1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3" fontId="2" fillId="0" borderId="0" xfId="0" applyNumberFormat="1" applyFont="1"/>
    <xf numFmtId="165" fontId="2" fillId="0" borderId="1" xfId="1" applyNumberFormat="1" applyFont="1" applyBorder="1" applyAlignment="1">
      <alignment horizontal="left" vertical="center" indent="1"/>
    </xf>
    <xf numFmtId="165" fontId="2" fillId="0" borderId="1" xfId="1" applyNumberFormat="1" applyFont="1" applyBorder="1" applyAlignment="1">
      <alignment vertical="center"/>
    </xf>
    <xf numFmtId="165" fontId="2" fillId="0" borderId="1" xfId="1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3" fontId="2" fillId="0" borderId="1" xfId="0" applyNumberFormat="1" applyFont="1" applyBorder="1"/>
    <xf numFmtId="0" fontId="2" fillId="0" borderId="0" xfId="1" applyNumberFormat="1" applyFont="1" applyBorder="1" applyAlignment="1">
      <alignment horizontal="left" vertical="center" indent="1"/>
    </xf>
    <xf numFmtId="0" fontId="1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/>
    </xf>
    <xf numFmtId="165" fontId="3" fillId="0" borderId="1" xfId="1" applyNumberFormat="1" applyFont="1" applyFill="1" applyBorder="1" applyAlignment="1">
      <alignment horizontal="right" vertical="center"/>
    </xf>
    <xf numFmtId="165" fontId="3" fillId="0" borderId="2" xfId="1" applyNumberFormat="1" applyFont="1" applyFill="1" applyBorder="1" applyAlignment="1">
      <alignment horizontal="left" vertical="center"/>
    </xf>
    <xf numFmtId="165" fontId="2" fillId="0" borderId="0" xfId="1" applyNumberFormat="1" applyFont="1" applyFill="1" applyBorder="1" applyAlignment="1">
      <alignment vertical="center"/>
    </xf>
    <xf numFmtId="165" fontId="3" fillId="0" borderId="1" xfId="1" applyNumberFormat="1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/>
    </xf>
    <xf numFmtId="165" fontId="3" fillId="0" borderId="2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0" fontId="7" fillId="2" borderId="4" xfId="3" applyFont="1" applyFill="1" applyBorder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65" fontId="3" fillId="0" borderId="2" xfId="1" applyNumberFormat="1" applyFont="1" applyBorder="1" applyAlignment="1">
      <alignment horizontal="right" vertical="center"/>
    </xf>
    <xf numFmtId="3" fontId="2" fillId="0" borderId="5" xfId="0" applyNumberFormat="1" applyFont="1" applyBorder="1"/>
    <xf numFmtId="0" fontId="8" fillId="3" borderId="1" xfId="3" applyFont="1" applyFill="1" applyBorder="1" applyAlignment="1">
      <alignment horizontal="right" vertical="center"/>
    </xf>
    <xf numFmtId="0" fontId="3" fillId="0" borderId="0" xfId="3" applyFont="1" applyAlignment="1">
      <alignment horizontal="right" vertical="center"/>
    </xf>
    <xf numFmtId="165" fontId="3" fillId="4" borderId="0" xfId="1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0" fontId="7" fillId="2" borderId="4" xfId="3" applyFont="1" applyFill="1" applyBorder="1" applyAlignment="1">
      <alignment horizontal="left" vertical="center"/>
    </xf>
    <xf numFmtId="0" fontId="11" fillId="0" borderId="0" xfId="3" applyFont="1" applyAlignment="1">
      <alignment horizontal="left" vertical="center"/>
    </xf>
    <xf numFmtId="0" fontId="6" fillId="2" borderId="0" xfId="2" applyFont="1" applyFill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8" fillId="3" borderId="1" xfId="3" applyFont="1" applyFill="1" applyBorder="1" applyAlignment="1">
      <alignment horizontal="center" vertical="center"/>
    </xf>
  </cellXfs>
  <cellStyles count="4">
    <cellStyle name="Millares 3" xfId="1"/>
    <cellStyle name="Normal" xfId="0" builtinId="0"/>
    <cellStyle name="Normal_C1 (2)" xfId="2"/>
    <cellStyle name="Normal_Cuadros tasas trimestrales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J126"/>
  <sheetViews>
    <sheetView showGridLines="0" tabSelected="1" zoomScale="85" zoomScaleNormal="85" workbookViewId="0">
      <selection activeCell="A4" sqref="A4"/>
    </sheetView>
  </sheetViews>
  <sheetFormatPr baseColWidth="10" defaultColWidth="6.23046875" defaultRowHeight="12.5" zeroHeight="1" x14ac:dyDescent="0.3"/>
  <cols>
    <col min="1" max="1" width="39.15234375" style="4" customWidth="1"/>
    <col min="2" max="88" width="11.84375" style="4" customWidth="1"/>
    <col min="89" max="16384" width="6.23046875" style="4"/>
  </cols>
  <sheetData>
    <row r="1" spans="1:88" s="2" customFormat="1" ht="22.5" customHeight="1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50.15" customHeight="1" x14ac:dyDescent="0.3">
      <c r="A2" s="45" t="s">
        <v>143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</row>
    <row r="3" spans="1:88" s="2" customFormat="1" ht="24" customHeight="1" x14ac:dyDescent="0.3">
      <c r="A3" s="43" t="s">
        <v>144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</row>
    <row r="4" spans="1:88" s="40" customFormat="1" ht="30" customHeight="1" thickBot="1" x14ac:dyDescent="0.35">
      <c r="A4" s="48" t="s">
        <v>150</v>
      </c>
      <c r="B4" s="39" t="s">
        <v>45</v>
      </c>
      <c r="C4" s="39" t="s">
        <v>46</v>
      </c>
      <c r="D4" s="39" t="s">
        <v>47</v>
      </c>
      <c r="E4" s="39" t="s">
        <v>48</v>
      </c>
      <c r="F4" s="39" t="s">
        <v>49</v>
      </c>
      <c r="G4" s="39" t="s">
        <v>50</v>
      </c>
      <c r="H4" s="39" t="s">
        <v>51</v>
      </c>
      <c r="I4" s="39" t="s">
        <v>52</v>
      </c>
      <c r="J4" s="39" t="s">
        <v>53</v>
      </c>
      <c r="K4" s="39" t="s">
        <v>54</v>
      </c>
      <c r="L4" s="39" t="s">
        <v>55</v>
      </c>
      <c r="M4" s="39" t="s">
        <v>56</v>
      </c>
      <c r="N4" s="39" t="s">
        <v>57</v>
      </c>
      <c r="O4" s="39" t="s">
        <v>58</v>
      </c>
      <c r="P4" s="39" t="s">
        <v>59</v>
      </c>
      <c r="Q4" s="39" t="s">
        <v>79</v>
      </c>
      <c r="R4" s="39" t="s">
        <v>80</v>
      </c>
      <c r="S4" s="39" t="s">
        <v>81</v>
      </c>
      <c r="T4" s="39" t="s">
        <v>82</v>
      </c>
      <c r="U4" s="39" t="s">
        <v>83</v>
      </c>
      <c r="V4" s="39" t="s">
        <v>84</v>
      </c>
      <c r="W4" s="39" t="s">
        <v>85</v>
      </c>
      <c r="X4" s="39" t="s">
        <v>86</v>
      </c>
      <c r="Y4" s="39" t="s">
        <v>87</v>
      </c>
      <c r="Z4" s="39" t="s">
        <v>88</v>
      </c>
      <c r="AA4" s="39" t="s">
        <v>89</v>
      </c>
      <c r="AB4" s="39" t="s">
        <v>90</v>
      </c>
      <c r="AC4" s="39" t="s">
        <v>91</v>
      </c>
      <c r="AD4" s="39" t="s">
        <v>92</v>
      </c>
      <c r="AE4" s="39" t="s">
        <v>93</v>
      </c>
      <c r="AF4" s="39" t="s">
        <v>94</v>
      </c>
      <c r="AG4" s="39" t="s">
        <v>95</v>
      </c>
      <c r="AH4" s="39" t="s">
        <v>96</v>
      </c>
      <c r="AI4" s="39" t="s">
        <v>97</v>
      </c>
      <c r="AJ4" s="39" t="s">
        <v>98</v>
      </c>
      <c r="AK4" s="39" t="s">
        <v>99</v>
      </c>
      <c r="AL4" s="39" t="s">
        <v>100</v>
      </c>
      <c r="AM4" s="39" t="s">
        <v>101</v>
      </c>
      <c r="AN4" s="39" t="s">
        <v>102</v>
      </c>
      <c r="AO4" s="39" t="s">
        <v>103</v>
      </c>
      <c r="AP4" s="39" t="s">
        <v>104</v>
      </c>
      <c r="AQ4" s="39" t="s">
        <v>105</v>
      </c>
      <c r="AR4" s="39" t="s">
        <v>106</v>
      </c>
      <c r="AS4" s="39" t="s">
        <v>107</v>
      </c>
      <c r="AT4" s="39" t="s">
        <v>108</v>
      </c>
      <c r="AU4" s="39" t="s">
        <v>109</v>
      </c>
      <c r="AV4" s="39" t="s">
        <v>110</v>
      </c>
      <c r="AW4" s="39" t="s">
        <v>111</v>
      </c>
      <c r="AX4" s="39" t="s">
        <v>112</v>
      </c>
      <c r="AY4" s="39" t="s">
        <v>113</v>
      </c>
      <c r="AZ4" s="39" t="s">
        <v>114</v>
      </c>
      <c r="BA4" s="39" t="s">
        <v>69</v>
      </c>
      <c r="BB4" s="39" t="s">
        <v>70</v>
      </c>
      <c r="BC4" s="39" t="s">
        <v>71</v>
      </c>
      <c r="BD4" s="39" t="s">
        <v>72</v>
      </c>
      <c r="BE4" s="39" t="s">
        <v>73</v>
      </c>
      <c r="BF4" s="39" t="s">
        <v>74</v>
      </c>
      <c r="BG4" s="39" t="s">
        <v>75</v>
      </c>
      <c r="BH4" s="39" t="s">
        <v>76</v>
      </c>
      <c r="BI4" s="39" t="s">
        <v>77</v>
      </c>
      <c r="BJ4" s="39" t="s">
        <v>78</v>
      </c>
      <c r="BK4" s="39" t="s">
        <v>120</v>
      </c>
      <c r="BL4" s="39" t="s">
        <v>122</v>
      </c>
      <c r="BM4" s="39" t="s">
        <v>123</v>
      </c>
      <c r="BN4" s="39" t="s">
        <v>124</v>
      </c>
      <c r="BO4" s="39" t="s">
        <v>125</v>
      </c>
      <c r="BP4" s="39" t="s">
        <v>126</v>
      </c>
      <c r="BQ4" s="39" t="s">
        <v>127</v>
      </c>
      <c r="BR4" s="39" t="s">
        <v>128</v>
      </c>
      <c r="BS4" s="39" t="s">
        <v>129</v>
      </c>
      <c r="BT4" s="39" t="s">
        <v>130</v>
      </c>
      <c r="BU4" s="39" t="s">
        <v>131</v>
      </c>
      <c r="BV4" s="39" t="s">
        <v>132</v>
      </c>
      <c r="BW4" s="39" t="s">
        <v>133</v>
      </c>
      <c r="BX4" s="39" t="s">
        <v>134</v>
      </c>
      <c r="BY4" s="39" t="s">
        <v>135</v>
      </c>
      <c r="BZ4" s="39" t="s">
        <v>136</v>
      </c>
      <c r="CA4" s="39" t="s">
        <v>137</v>
      </c>
      <c r="CB4" s="39" t="s">
        <v>138</v>
      </c>
      <c r="CC4" s="39" t="s">
        <v>139</v>
      </c>
      <c r="CD4" s="39" t="s">
        <v>140</v>
      </c>
      <c r="CE4" s="39" t="s">
        <v>141</v>
      </c>
      <c r="CF4" s="39" t="s">
        <v>142</v>
      </c>
      <c r="CG4" s="39" t="s">
        <v>146</v>
      </c>
      <c r="CH4" s="39" t="s">
        <v>147</v>
      </c>
      <c r="CI4" s="39" t="s">
        <v>148</v>
      </c>
      <c r="CJ4" s="39" t="s">
        <v>149</v>
      </c>
    </row>
    <row r="5" spans="1:88" s="8" customFormat="1" ht="30" customHeight="1" thickBot="1" x14ac:dyDescent="0.35">
      <c r="A5" s="5" t="s">
        <v>1</v>
      </c>
      <c r="B5" s="15">
        <v>1779.3853530177284</v>
      </c>
      <c r="C5" s="6">
        <v>1748.3987482495888</v>
      </c>
      <c r="D5" s="6">
        <v>1667.5968843201879</v>
      </c>
      <c r="E5" s="6">
        <v>1657.5690972025507</v>
      </c>
      <c r="F5" s="6">
        <v>1653.5413129698595</v>
      </c>
      <c r="G5" s="6">
        <v>1551.9715273760778</v>
      </c>
      <c r="H5" s="6">
        <v>1362.6195098852625</v>
      </c>
      <c r="I5" s="6">
        <v>1395.9078004358698</v>
      </c>
      <c r="J5" s="6">
        <v>1446.2924392387881</v>
      </c>
      <c r="K5" s="6">
        <v>1316.1173789354068</v>
      </c>
      <c r="L5" s="6">
        <v>1225.1116456688069</v>
      </c>
      <c r="M5" s="6">
        <v>1365.1594292941124</v>
      </c>
      <c r="N5" s="6">
        <v>1226.5454192736263</v>
      </c>
      <c r="O5" s="6">
        <v>1210.548272333029</v>
      </c>
      <c r="P5" s="6">
        <v>1051.4829974269976</v>
      </c>
      <c r="Q5" s="6">
        <v>1132.7805376088322</v>
      </c>
      <c r="R5" s="41">
        <f>+(Q5+S5)/2</f>
        <v>1077.3492662253584</v>
      </c>
      <c r="S5" s="7">
        <v>1021.9179948418844</v>
      </c>
      <c r="T5" s="6">
        <v>934.28508649814682</v>
      </c>
      <c r="U5" s="6">
        <v>982.65954802058809</v>
      </c>
      <c r="V5" s="6">
        <v>1060.9639521126915</v>
      </c>
      <c r="W5" s="6">
        <v>1050.010383741446</v>
      </c>
      <c r="X5" s="6">
        <v>1050.5228123187451</v>
      </c>
      <c r="Y5" s="6">
        <v>1220.1720497881679</v>
      </c>
      <c r="Z5" s="6">
        <v>1224.5663728433944</v>
      </c>
      <c r="AA5" s="6">
        <v>1201.091621256983</v>
      </c>
      <c r="AB5" s="6">
        <v>1076.007046978558</v>
      </c>
      <c r="AC5" s="6">
        <v>1155.1310741606835</v>
      </c>
      <c r="AD5" s="6">
        <v>1029.0251665236926</v>
      </c>
      <c r="AE5" s="6">
        <v>976.20165500855376</v>
      </c>
      <c r="AF5" s="6">
        <v>962.04633235972733</v>
      </c>
      <c r="AG5" s="6">
        <v>1006.2242605247475</v>
      </c>
      <c r="AH5" s="6">
        <v>1059.4356711761545</v>
      </c>
      <c r="AI5" s="6">
        <v>1019.0525040811112</v>
      </c>
      <c r="AJ5" s="6">
        <v>876.50274683802763</v>
      </c>
      <c r="AK5" s="6">
        <v>1126.6286800306341</v>
      </c>
      <c r="AL5" s="6">
        <v>1088.1999343013481</v>
      </c>
      <c r="AM5" s="6">
        <v>1091.4873580173014</v>
      </c>
      <c r="AN5" s="6">
        <v>956.35288442709498</v>
      </c>
      <c r="AO5" s="6">
        <v>1187.5755442270961</v>
      </c>
      <c r="AP5" s="6">
        <v>1065.1268236549213</v>
      </c>
      <c r="AQ5" s="37">
        <v>939.90399349851521</v>
      </c>
      <c r="AR5" s="37">
        <v>965.58882976714926</v>
      </c>
      <c r="AS5" s="6">
        <v>1116.0784437753134</v>
      </c>
      <c r="AT5" s="6">
        <v>1102.526842714245</v>
      </c>
      <c r="AU5" s="6">
        <v>1097.257840071022</v>
      </c>
      <c r="AV5" s="6">
        <v>907.57083690847605</v>
      </c>
      <c r="AW5" s="6">
        <v>1078.4785248845051</v>
      </c>
      <c r="AX5" s="41">
        <f>+(AW5+BA5)/2</f>
        <v>1247.8872856293733</v>
      </c>
      <c r="AY5" s="41">
        <f>+(AX5+BA5)/2</f>
        <v>1332.5916660018074</v>
      </c>
      <c r="AZ5" s="41">
        <f>+(AY5+BA5)/2</f>
        <v>1374.9438561880247</v>
      </c>
      <c r="BA5" s="28">
        <v>1417.2960463742418</v>
      </c>
      <c r="BB5" s="6">
        <v>1287.1420580708671</v>
      </c>
      <c r="BC5" s="6">
        <v>1293.392499948045</v>
      </c>
      <c r="BD5" s="6">
        <v>1254.5290026271323</v>
      </c>
      <c r="BE5" s="6">
        <v>1384.650834</v>
      </c>
      <c r="BF5" s="6">
        <v>1394.2925451000001</v>
      </c>
      <c r="BG5" s="6">
        <v>1318.3631</v>
      </c>
      <c r="BH5" s="6">
        <v>1278.19237</v>
      </c>
      <c r="BI5" s="6">
        <v>1460.9465875000003</v>
      </c>
      <c r="BJ5" s="6">
        <v>1551.6556506000002</v>
      </c>
      <c r="BK5" s="6">
        <v>1571.8930524000002</v>
      </c>
      <c r="BL5" s="6">
        <v>1562.4190000000001</v>
      </c>
      <c r="BM5" s="6">
        <v>1774.9880000000001</v>
      </c>
      <c r="BN5" s="6">
        <v>1712.509075433411</v>
      </c>
      <c r="BO5" s="6">
        <v>1754.172</v>
      </c>
      <c r="BP5" s="6">
        <v>1569.25</v>
      </c>
      <c r="BQ5" s="6">
        <v>1054.1300000000001</v>
      </c>
      <c r="BR5" s="6">
        <v>1620.3009999999999</v>
      </c>
      <c r="BS5" s="6">
        <v>1954.5039999999999</v>
      </c>
      <c r="BT5" s="6">
        <v>1592.1469999999999</v>
      </c>
      <c r="BU5" s="6">
        <v>1644.819</v>
      </c>
      <c r="BV5" s="6">
        <v>1647.588</v>
      </c>
      <c r="BW5" s="6">
        <v>1647.0450000000001</v>
      </c>
      <c r="BX5" s="6">
        <v>1354.5730000000001</v>
      </c>
      <c r="BY5" s="6">
        <v>1552.221</v>
      </c>
      <c r="BZ5" s="6">
        <v>1534.7719999999999</v>
      </c>
      <c r="CA5" s="6">
        <v>1517.2180000000001</v>
      </c>
      <c r="CB5" s="6">
        <v>1332.4580000000001</v>
      </c>
      <c r="CC5" s="6">
        <v>1484.03</v>
      </c>
      <c r="CD5" s="6">
        <v>1466.731</v>
      </c>
      <c r="CE5" s="6">
        <v>1501.5630000000001</v>
      </c>
      <c r="CF5" s="6">
        <v>1443.817</v>
      </c>
      <c r="CG5" s="6">
        <v>1699.107</v>
      </c>
      <c r="CH5" s="6">
        <v>1631.904</v>
      </c>
      <c r="CI5" s="6">
        <v>1641.3710000000001</v>
      </c>
      <c r="CJ5" s="6">
        <v>1436.617</v>
      </c>
    </row>
    <row r="6" spans="1:88" ht="20.149999999999999" customHeight="1" thickBot="1" x14ac:dyDescent="0.35">
      <c r="A6" s="9" t="s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10"/>
      <c r="AA6" s="10"/>
      <c r="AB6" s="10"/>
      <c r="AC6" s="10"/>
      <c r="AD6" s="10"/>
      <c r="AE6" s="10"/>
      <c r="AF6" s="10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33"/>
      <c r="AY6" s="33"/>
      <c r="AZ6" s="33"/>
      <c r="BA6" s="29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</row>
    <row r="7" spans="1:88" ht="20.149999999999999" customHeight="1" x14ac:dyDescent="0.3">
      <c r="A7" s="12" t="s">
        <v>3</v>
      </c>
      <c r="B7" s="13">
        <v>881.76241872151377</v>
      </c>
      <c r="C7" s="13">
        <v>847.38402845177359</v>
      </c>
      <c r="D7" s="13">
        <v>812.46690367100757</v>
      </c>
      <c r="E7" s="13">
        <v>759.08815115602715</v>
      </c>
      <c r="F7" s="13">
        <v>786.52982788703605</v>
      </c>
      <c r="G7" s="13">
        <v>718.04346320568379</v>
      </c>
      <c r="H7" s="13">
        <v>624.0264995474505</v>
      </c>
      <c r="I7" s="13">
        <v>652.06966871899317</v>
      </c>
      <c r="J7" s="13">
        <v>689.43363556661313</v>
      </c>
      <c r="K7" s="13">
        <v>603.79214220248286</v>
      </c>
      <c r="L7" s="13">
        <v>556.7886157499812</v>
      </c>
      <c r="M7" s="13">
        <v>613.69909671379708</v>
      </c>
      <c r="N7" s="13">
        <v>531.95218955547932</v>
      </c>
      <c r="O7" s="13">
        <v>562.26888727630944</v>
      </c>
      <c r="P7" s="13">
        <v>469.78442621981236</v>
      </c>
      <c r="Q7" s="13">
        <v>513.70064782086274</v>
      </c>
      <c r="R7" s="41">
        <f t="shared" ref="R7:R8" si="0">+(Q7+S7)/2</f>
        <v>478.50551056529287</v>
      </c>
      <c r="S7" s="14">
        <v>443.31037330972293</v>
      </c>
      <c r="T7" s="13">
        <v>412.83396244160582</v>
      </c>
      <c r="U7" s="13">
        <v>455.64580640110654</v>
      </c>
      <c r="V7" s="13">
        <v>466.56196655921843</v>
      </c>
      <c r="W7" s="13">
        <v>486.1541040382404</v>
      </c>
      <c r="X7" s="13">
        <v>469.86234268666635</v>
      </c>
      <c r="Y7" s="13">
        <v>540.37509231817535</v>
      </c>
      <c r="Z7" s="13">
        <v>585.42759337542043</v>
      </c>
      <c r="AA7" s="13">
        <v>544.79038822681071</v>
      </c>
      <c r="AB7" s="13">
        <v>501.54524006207657</v>
      </c>
      <c r="AC7" s="13">
        <v>535.8981762551748</v>
      </c>
      <c r="AD7" s="13">
        <v>482.16724012529056</v>
      </c>
      <c r="AE7" s="13">
        <v>429.40946681917029</v>
      </c>
      <c r="AF7" s="13">
        <v>481.33259990587089</v>
      </c>
      <c r="AG7" s="13">
        <v>432.15597685775401</v>
      </c>
      <c r="AH7" s="13">
        <v>479.90174840283055</v>
      </c>
      <c r="AI7" s="13">
        <v>455.64681069563761</v>
      </c>
      <c r="AJ7" s="13">
        <v>413.79432624483104</v>
      </c>
      <c r="AK7" s="13">
        <v>483.63450168100354</v>
      </c>
      <c r="AL7" s="13">
        <v>506.33309413984165</v>
      </c>
      <c r="AM7" s="13">
        <v>504.24910724193933</v>
      </c>
      <c r="AN7" s="13">
        <v>471.64111257995023</v>
      </c>
      <c r="AO7" s="13">
        <v>572.87288049238452</v>
      </c>
      <c r="AP7" s="13">
        <v>505.72098067366346</v>
      </c>
      <c r="AQ7" s="13">
        <v>415.09639399418774</v>
      </c>
      <c r="AR7" s="13">
        <v>433.52842160206637</v>
      </c>
      <c r="AS7" s="13">
        <v>514.26456625336971</v>
      </c>
      <c r="AT7" s="13">
        <v>511.08375486033219</v>
      </c>
      <c r="AU7" s="13">
        <v>505.33458580790807</v>
      </c>
      <c r="AV7" s="13">
        <v>427.24637095665571</v>
      </c>
      <c r="AW7" s="13">
        <v>498.00332473364165</v>
      </c>
      <c r="AX7" s="41">
        <f t="shared" ref="AX7:AX8" si="1">+(AW7+BA7)/2</f>
        <v>581.37378859459807</v>
      </c>
      <c r="AY7" s="41">
        <f t="shared" ref="AY7:AY8" si="2">+(AX7+BA7)/2</f>
        <v>623.05902052507622</v>
      </c>
      <c r="AZ7" s="41">
        <f t="shared" ref="AZ7:AZ8" si="3">+(AY7+BA7)/2</f>
        <v>643.90163649031535</v>
      </c>
      <c r="BA7" s="30">
        <v>664.74425245555449</v>
      </c>
      <c r="BB7" s="13">
        <v>607.33719268100037</v>
      </c>
      <c r="BC7" s="13">
        <v>610.25365733583885</v>
      </c>
      <c r="BD7" s="13">
        <v>632.56171449657734</v>
      </c>
      <c r="BE7" s="13">
        <v>655.20763840000006</v>
      </c>
      <c r="BF7" s="13">
        <v>661.40135880000003</v>
      </c>
      <c r="BG7" s="13">
        <v>637.92003999999997</v>
      </c>
      <c r="BH7" s="13">
        <v>616.83528000000001</v>
      </c>
      <c r="BI7" s="13">
        <v>633.03965660000006</v>
      </c>
      <c r="BJ7" s="13">
        <v>717.77290860000005</v>
      </c>
      <c r="BK7" s="13">
        <v>709.35016680000012</v>
      </c>
      <c r="BL7" s="13">
        <v>731.53499999999997</v>
      </c>
      <c r="BM7" s="13">
        <v>837.62400000000002</v>
      </c>
      <c r="BN7" s="13">
        <v>836.9603543739438</v>
      </c>
      <c r="BO7" s="13">
        <v>808.88900000000001</v>
      </c>
      <c r="BP7" s="13">
        <v>745.86199999999997</v>
      </c>
      <c r="BQ7" s="13">
        <v>606.74699999999996</v>
      </c>
      <c r="BR7" s="13">
        <v>866.30499999999995</v>
      </c>
      <c r="BS7" s="13">
        <v>935.601</v>
      </c>
      <c r="BT7" s="13">
        <v>803.97699999999998</v>
      </c>
      <c r="BU7" s="13">
        <v>830.79899999999998</v>
      </c>
      <c r="BV7" s="13">
        <v>733.50800000000004</v>
      </c>
      <c r="BW7" s="13">
        <v>772.31</v>
      </c>
      <c r="BX7" s="13">
        <v>604.55100000000004</v>
      </c>
      <c r="BY7" s="13">
        <v>729.17</v>
      </c>
      <c r="BZ7" s="13">
        <v>652.24599999999998</v>
      </c>
      <c r="CA7" s="13">
        <v>672.03899999999999</v>
      </c>
      <c r="CB7" s="13">
        <v>599.88800000000003</v>
      </c>
      <c r="CC7" s="13">
        <v>663.14099999999996</v>
      </c>
      <c r="CD7" s="13">
        <v>647.99</v>
      </c>
      <c r="CE7" s="13">
        <v>615.024</v>
      </c>
      <c r="CF7" s="13">
        <v>646.92600000000004</v>
      </c>
      <c r="CG7" s="13">
        <v>779.23900000000003</v>
      </c>
      <c r="CH7" s="13">
        <v>747.19100000000003</v>
      </c>
      <c r="CI7" s="13">
        <v>724.774</v>
      </c>
      <c r="CJ7" s="13">
        <v>664.48299999999995</v>
      </c>
    </row>
    <row r="8" spans="1:88" ht="20.149999999999999" customHeight="1" x14ac:dyDescent="0.3">
      <c r="A8" s="12" t="s">
        <v>4</v>
      </c>
      <c r="B8" s="13">
        <v>897.62293429621468</v>
      </c>
      <c r="C8" s="13">
        <v>901.01471979781525</v>
      </c>
      <c r="D8" s="13">
        <v>855.1299806491802</v>
      </c>
      <c r="E8" s="13">
        <v>898.48094604652351</v>
      </c>
      <c r="F8" s="13">
        <v>867.01148508282336</v>
      </c>
      <c r="G8" s="13">
        <v>833.92806417039401</v>
      </c>
      <c r="H8" s="13">
        <v>738.59301033781196</v>
      </c>
      <c r="I8" s="13">
        <v>743.83813171687666</v>
      </c>
      <c r="J8" s="13">
        <v>756.8588036721751</v>
      </c>
      <c r="K8" s="13">
        <v>712.32523673292394</v>
      </c>
      <c r="L8" s="13">
        <v>668.32302991882568</v>
      </c>
      <c r="M8" s="13">
        <v>751.46033258031525</v>
      </c>
      <c r="N8" s="13">
        <v>694.59322971814686</v>
      </c>
      <c r="O8" s="13">
        <v>648.27938505671966</v>
      </c>
      <c r="P8" s="13">
        <v>581.69857120718518</v>
      </c>
      <c r="Q8" s="13">
        <v>619.07988978796948</v>
      </c>
      <c r="R8" s="41">
        <f t="shared" si="0"/>
        <v>598.84375566006543</v>
      </c>
      <c r="S8" s="14">
        <v>578.60762153216137</v>
      </c>
      <c r="T8" s="13">
        <v>521.45112405654095</v>
      </c>
      <c r="U8" s="13">
        <v>527.01374161948161</v>
      </c>
      <c r="V8" s="13">
        <v>594.40198555347297</v>
      </c>
      <c r="W8" s="13">
        <v>563.8562797032057</v>
      </c>
      <c r="X8" s="13">
        <v>580.66046963207873</v>
      </c>
      <c r="Y8" s="13">
        <v>679.79695746999266</v>
      </c>
      <c r="Z8" s="13">
        <v>639.13877946797402</v>
      </c>
      <c r="AA8" s="13">
        <v>656.30123303017228</v>
      </c>
      <c r="AB8" s="13">
        <v>574.46180691648146</v>
      </c>
      <c r="AC8" s="13">
        <v>619.23289790550871</v>
      </c>
      <c r="AD8" s="13">
        <v>546.85792639840201</v>
      </c>
      <c r="AE8" s="13">
        <v>546.79218818938364</v>
      </c>
      <c r="AF8" s="13">
        <v>480.71373245385644</v>
      </c>
      <c r="AG8" s="13">
        <v>574.06828366699347</v>
      </c>
      <c r="AH8" s="13">
        <v>579.53392277332409</v>
      </c>
      <c r="AI8" s="13">
        <v>563.40569338547368</v>
      </c>
      <c r="AJ8" s="13">
        <v>462.70842059319648</v>
      </c>
      <c r="AK8" s="13">
        <v>642.99417834963049</v>
      </c>
      <c r="AL8" s="13">
        <v>581.8668401615065</v>
      </c>
      <c r="AM8" s="13">
        <v>587.23825077536208</v>
      </c>
      <c r="AN8" s="13">
        <v>484.71177184714475</v>
      </c>
      <c r="AO8" s="13">
        <v>614.70266373471145</v>
      </c>
      <c r="AP8" s="13">
        <v>559.40584298125782</v>
      </c>
      <c r="AQ8" s="13">
        <v>524.80759950432741</v>
      </c>
      <c r="AR8" s="13">
        <v>532.06040816508289</v>
      </c>
      <c r="AS8" s="13">
        <v>601.81387752194371</v>
      </c>
      <c r="AT8" s="13">
        <v>591.44308785391286</v>
      </c>
      <c r="AU8" s="13">
        <v>591.9232542631139</v>
      </c>
      <c r="AV8" s="13">
        <v>480.32446595182029</v>
      </c>
      <c r="AW8" s="13">
        <v>580.47520015086343</v>
      </c>
      <c r="AX8" s="41">
        <f t="shared" si="1"/>
        <v>666.51349703477536</v>
      </c>
      <c r="AY8" s="41">
        <f t="shared" si="2"/>
        <v>709.53264547673132</v>
      </c>
      <c r="AZ8" s="41">
        <f t="shared" si="3"/>
        <v>731.04221969770924</v>
      </c>
      <c r="BA8" s="30">
        <v>752.55179391868728</v>
      </c>
      <c r="BB8" s="13">
        <v>679.80486538986679</v>
      </c>
      <c r="BC8" s="13">
        <v>683.13884261220619</v>
      </c>
      <c r="BD8" s="13">
        <v>621.96728813055495</v>
      </c>
      <c r="BE8" s="13">
        <v>729.44319560000008</v>
      </c>
      <c r="BF8" s="13">
        <v>732.89118629999996</v>
      </c>
      <c r="BG8" s="13">
        <v>680.44306000000006</v>
      </c>
      <c r="BH8" s="13">
        <v>661.35708999999997</v>
      </c>
      <c r="BI8" s="13">
        <v>827.90693090000013</v>
      </c>
      <c r="BJ8" s="13">
        <v>833.88274200000001</v>
      </c>
      <c r="BK8" s="13">
        <v>862.5428856000002</v>
      </c>
      <c r="BL8" s="13">
        <v>830.88400000000001</v>
      </c>
      <c r="BM8" s="13">
        <v>937.36400000000003</v>
      </c>
      <c r="BN8" s="13">
        <v>875.54872105946697</v>
      </c>
      <c r="BO8" s="13">
        <v>945.28300000000002</v>
      </c>
      <c r="BP8" s="13">
        <v>823.38800000000003</v>
      </c>
      <c r="BQ8" s="13">
        <v>447.38299999999998</v>
      </c>
      <c r="BR8" s="13">
        <v>753.99599999999998</v>
      </c>
      <c r="BS8" s="13">
        <v>1018.903</v>
      </c>
      <c r="BT8" s="13">
        <v>788.17</v>
      </c>
      <c r="BU8" s="13">
        <v>814.02</v>
      </c>
      <c r="BV8" s="13">
        <v>914.08</v>
      </c>
      <c r="BW8" s="13">
        <v>874.73500000000001</v>
      </c>
      <c r="BX8" s="13">
        <v>750.02200000000005</v>
      </c>
      <c r="BY8" s="13">
        <v>823.05100000000004</v>
      </c>
      <c r="BZ8" s="13">
        <v>882.52599999999995</v>
      </c>
      <c r="CA8" s="13">
        <v>845.17899999999997</v>
      </c>
      <c r="CB8" s="13">
        <v>732.57</v>
      </c>
      <c r="CC8" s="13">
        <v>820.88900000000001</v>
      </c>
      <c r="CD8" s="13">
        <v>818.74099999999999</v>
      </c>
      <c r="CE8" s="13">
        <v>886.53899999999999</v>
      </c>
      <c r="CF8" s="13">
        <v>796.89099999999996</v>
      </c>
      <c r="CG8" s="13">
        <v>919.86800000000005</v>
      </c>
      <c r="CH8" s="13">
        <v>884.71299999999997</v>
      </c>
      <c r="CI8" s="13">
        <v>916.59699999999998</v>
      </c>
      <c r="CJ8" s="13">
        <v>772.13400000000001</v>
      </c>
    </row>
    <row r="9" spans="1:88" ht="20.149999999999999" customHeight="1" thickBot="1" x14ac:dyDescent="0.35">
      <c r="A9" s="15" t="s">
        <v>67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6"/>
      <c r="Z9" s="16"/>
      <c r="AA9" s="16"/>
      <c r="AB9" s="16"/>
      <c r="AC9" s="16"/>
      <c r="AD9" s="16"/>
      <c r="AE9" s="16"/>
      <c r="AF9" s="16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34"/>
      <c r="AY9" s="34"/>
      <c r="AZ9" s="34"/>
      <c r="BA9" s="31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</row>
    <row r="10" spans="1:88" ht="20.149999999999999" customHeight="1" x14ac:dyDescent="0.3">
      <c r="A10" s="12" t="s">
        <v>5</v>
      </c>
      <c r="B10" s="13">
        <v>317.87641253223751</v>
      </c>
      <c r="C10" s="13">
        <v>327.03502506463263</v>
      </c>
      <c r="D10" s="13">
        <v>347.79943089432686</v>
      </c>
      <c r="E10" s="13">
        <v>318.25622306636296</v>
      </c>
      <c r="F10" s="13">
        <v>293.23328364568602</v>
      </c>
      <c r="G10" s="13">
        <v>268.73601817290984</v>
      </c>
      <c r="H10" s="13">
        <v>228.55556940940059</v>
      </c>
      <c r="I10" s="13">
        <v>234.70201671087747</v>
      </c>
      <c r="J10" s="13">
        <v>279.54027934062668</v>
      </c>
      <c r="K10" s="13">
        <v>236.03777070783804</v>
      </c>
      <c r="L10" s="13">
        <v>211.04646839937735</v>
      </c>
      <c r="M10" s="13">
        <v>242.49950477709459</v>
      </c>
      <c r="N10" s="13">
        <v>241.08382020895814</v>
      </c>
      <c r="O10" s="13">
        <v>237.2811156032175</v>
      </c>
      <c r="P10" s="13">
        <v>187.0844695229446</v>
      </c>
      <c r="Q10" s="13">
        <v>195.41984521949945</v>
      </c>
      <c r="R10" s="41">
        <f t="shared" ref="R10:R14" si="4">+(Q10+S10)/2</f>
        <v>194.79577893215503</v>
      </c>
      <c r="S10" s="14">
        <v>194.17171264481064</v>
      </c>
      <c r="T10" s="13">
        <v>148.2756718473704</v>
      </c>
      <c r="U10" s="13">
        <v>180.97656049437356</v>
      </c>
      <c r="V10" s="13">
        <v>199.38877303831899</v>
      </c>
      <c r="W10" s="13">
        <v>212.87119295196132</v>
      </c>
      <c r="X10" s="13">
        <v>174.5350123017038</v>
      </c>
      <c r="Y10" s="13">
        <v>239.21119128301152</v>
      </c>
      <c r="Z10" s="13">
        <v>205.64834178470994</v>
      </c>
      <c r="AA10" s="13">
        <v>234.21220889825835</v>
      </c>
      <c r="AB10" s="13">
        <v>204.30848216659044</v>
      </c>
      <c r="AC10" s="13">
        <v>201.78500465211189</v>
      </c>
      <c r="AD10" s="13">
        <v>181.63437051125169</v>
      </c>
      <c r="AE10" s="13">
        <v>193.58817037386717</v>
      </c>
      <c r="AF10" s="13">
        <v>168.15395862289316</v>
      </c>
      <c r="AG10" s="13">
        <v>176.1616278604717</v>
      </c>
      <c r="AH10" s="13">
        <v>194.14292484205865</v>
      </c>
      <c r="AI10" s="13">
        <v>169.57390456043296</v>
      </c>
      <c r="AJ10" s="13">
        <v>151.76628164091096</v>
      </c>
      <c r="AK10" s="13">
        <v>209.25507154314323</v>
      </c>
      <c r="AL10" s="13">
        <v>209.84564658895485</v>
      </c>
      <c r="AM10" s="13">
        <v>192.75624352810001</v>
      </c>
      <c r="AN10" s="13">
        <v>164.8221983225217</v>
      </c>
      <c r="AO10" s="13">
        <v>235.28827376584718</v>
      </c>
      <c r="AP10" s="13">
        <v>196.76880899468424</v>
      </c>
      <c r="AQ10" s="13">
        <v>160.30519604327284</v>
      </c>
      <c r="AR10" s="13">
        <v>176.27469132727319</v>
      </c>
      <c r="AS10" s="13">
        <v>197.13518441116065</v>
      </c>
      <c r="AT10" s="13">
        <v>192.09497306474452</v>
      </c>
      <c r="AU10" s="13">
        <v>233.40622658585141</v>
      </c>
      <c r="AV10" s="13">
        <v>153.96799602737229</v>
      </c>
      <c r="AW10" s="13">
        <v>174.77537243463917</v>
      </c>
      <c r="AX10" s="41">
        <f t="shared" ref="AX10:AX14" si="5">+(AW10+BA10)/2</f>
        <v>192.05833128609351</v>
      </c>
      <c r="AY10" s="41">
        <f t="shared" ref="AY10:AY14" si="6">+(AX10+BA10)/2</f>
        <v>200.6998107118207</v>
      </c>
      <c r="AZ10" s="41">
        <f t="shared" ref="AZ10:AZ14" si="7">+(AY10+BA10)/2</f>
        <v>205.0205504246843</v>
      </c>
      <c r="BA10" s="30">
        <v>209.34129013754787</v>
      </c>
      <c r="BB10" s="13">
        <v>214.94179469378193</v>
      </c>
      <c r="BC10" s="13">
        <v>214.67435147374403</v>
      </c>
      <c r="BD10" s="13">
        <v>229.3816734525015</v>
      </c>
      <c r="BE10" s="13">
        <v>248.99207560000002</v>
      </c>
      <c r="BF10" s="13">
        <v>253.19570640000001</v>
      </c>
      <c r="BG10" s="13">
        <v>275.74716999999998</v>
      </c>
      <c r="BH10" s="13">
        <v>243.29182999999998</v>
      </c>
      <c r="BI10" s="13">
        <v>254.34533480000005</v>
      </c>
      <c r="BJ10" s="13">
        <v>263.07410579999998</v>
      </c>
      <c r="BK10" s="13">
        <v>261.30998520000003</v>
      </c>
      <c r="BL10" s="13">
        <v>264.55900000000003</v>
      </c>
      <c r="BM10" s="13">
        <v>287.15800000000002</v>
      </c>
      <c r="BN10" s="13">
        <v>257.36874883333059</v>
      </c>
      <c r="BO10" s="13">
        <v>286.45499999999998</v>
      </c>
      <c r="BP10" s="13">
        <v>239.12299999999999</v>
      </c>
      <c r="BQ10" s="13">
        <v>149.28700000000001</v>
      </c>
      <c r="BR10" s="13">
        <v>236.74600000000001</v>
      </c>
      <c r="BS10" s="13">
        <v>304.947</v>
      </c>
      <c r="BT10" s="13">
        <v>243.34700000000001</v>
      </c>
      <c r="BU10" s="13">
        <v>247.803</v>
      </c>
      <c r="BV10" s="13">
        <v>259.89499999999998</v>
      </c>
      <c r="BW10" s="13">
        <v>283.89699999999999</v>
      </c>
      <c r="BX10" s="13">
        <v>215.32300000000001</v>
      </c>
      <c r="BY10" s="13">
        <v>226.511</v>
      </c>
      <c r="BZ10" s="13">
        <v>277.65199999999999</v>
      </c>
      <c r="CA10" s="13">
        <v>264.56099999999998</v>
      </c>
      <c r="CB10" s="13">
        <v>214.74199999999999</v>
      </c>
      <c r="CC10" s="13">
        <v>218.99299999999999</v>
      </c>
      <c r="CD10" s="13">
        <v>256.36700000000002</v>
      </c>
      <c r="CE10" s="13">
        <v>236.809</v>
      </c>
      <c r="CF10" s="13">
        <v>232.762</v>
      </c>
      <c r="CG10" s="13">
        <v>218.36799999999999</v>
      </c>
      <c r="CH10" s="13">
        <v>251.595</v>
      </c>
      <c r="CI10" s="13">
        <v>233.184</v>
      </c>
      <c r="CJ10" s="13">
        <v>238.846</v>
      </c>
    </row>
    <row r="11" spans="1:88" ht="20.149999999999999" customHeight="1" x14ac:dyDescent="0.3">
      <c r="A11" s="12" t="s">
        <v>6</v>
      </c>
      <c r="B11" s="13">
        <v>449.91875858435645</v>
      </c>
      <c r="C11" s="13">
        <v>437.65200981122371</v>
      </c>
      <c r="D11" s="13">
        <v>387.28880108814337</v>
      </c>
      <c r="E11" s="13">
        <v>404.9977525199925</v>
      </c>
      <c r="F11" s="13">
        <v>402.00963985205732</v>
      </c>
      <c r="G11" s="13">
        <v>405.52977047410559</v>
      </c>
      <c r="H11" s="13">
        <v>336.33573963767248</v>
      </c>
      <c r="I11" s="13">
        <v>318.40414600855064</v>
      </c>
      <c r="J11" s="13">
        <v>324.92059958554051</v>
      </c>
      <c r="K11" s="13">
        <v>339.67282599519427</v>
      </c>
      <c r="L11" s="13">
        <v>287.61735384435519</v>
      </c>
      <c r="M11" s="13">
        <v>328.44204022176461</v>
      </c>
      <c r="N11" s="13">
        <v>293.60825659518667</v>
      </c>
      <c r="O11" s="13">
        <v>283.43239929329053</v>
      </c>
      <c r="P11" s="13">
        <v>224.57300143182908</v>
      </c>
      <c r="Q11" s="13">
        <v>284.95833886243463</v>
      </c>
      <c r="R11" s="41">
        <f t="shared" si="4"/>
        <v>265.18045940677285</v>
      </c>
      <c r="S11" s="14">
        <v>245.40257995111105</v>
      </c>
      <c r="T11" s="13">
        <v>248.01191041609295</v>
      </c>
      <c r="U11" s="13">
        <v>258.70965344619782</v>
      </c>
      <c r="V11" s="13">
        <v>247.83843841292676</v>
      </c>
      <c r="W11" s="13">
        <v>264.95131370608146</v>
      </c>
      <c r="X11" s="13">
        <v>268.54757973219699</v>
      </c>
      <c r="Y11" s="13">
        <v>308.79886427886839</v>
      </c>
      <c r="Z11" s="13">
        <v>307.37794527456083</v>
      </c>
      <c r="AA11" s="13">
        <v>321.21742645320296</v>
      </c>
      <c r="AB11" s="13">
        <v>292.93103518417195</v>
      </c>
      <c r="AC11" s="13">
        <v>288.77357518263057</v>
      </c>
      <c r="AD11" s="13">
        <v>271.00740309257725</v>
      </c>
      <c r="AE11" s="13">
        <v>212.3584486278387</v>
      </c>
      <c r="AF11" s="13">
        <v>211.48286363517221</v>
      </c>
      <c r="AG11" s="13">
        <v>258.96345735399575</v>
      </c>
      <c r="AH11" s="13">
        <v>249.51055751646246</v>
      </c>
      <c r="AI11" s="13">
        <v>252.40030768840458</v>
      </c>
      <c r="AJ11" s="13">
        <v>205.90993917575437</v>
      </c>
      <c r="AK11" s="13">
        <v>280.35750015806474</v>
      </c>
      <c r="AL11" s="13">
        <v>245.34723679536381</v>
      </c>
      <c r="AM11" s="13">
        <v>280.26922555274962</v>
      </c>
      <c r="AN11" s="13">
        <v>234.24146402927536</v>
      </c>
      <c r="AO11" s="13">
        <v>314.90655460233899</v>
      </c>
      <c r="AP11" s="13">
        <v>260.95821852941447</v>
      </c>
      <c r="AQ11" s="13">
        <v>236.78528855814537</v>
      </c>
      <c r="AR11" s="13">
        <v>246.824756969101</v>
      </c>
      <c r="AS11" s="13">
        <v>284.32693488576047</v>
      </c>
      <c r="AT11" s="13">
        <v>282.86966107392499</v>
      </c>
      <c r="AU11" s="13">
        <v>308.14901877179153</v>
      </c>
      <c r="AV11" s="13">
        <v>236.8726828363867</v>
      </c>
      <c r="AW11" s="13">
        <v>269.94655091279174</v>
      </c>
      <c r="AX11" s="41">
        <f t="shared" si="5"/>
        <v>312.46642140648817</v>
      </c>
      <c r="AY11" s="41">
        <f t="shared" si="6"/>
        <v>333.72635665333644</v>
      </c>
      <c r="AZ11" s="41">
        <f t="shared" si="7"/>
        <v>344.35632427676057</v>
      </c>
      <c r="BA11" s="30">
        <v>354.98629190018465</v>
      </c>
      <c r="BB11" s="13">
        <v>311.50541060841687</v>
      </c>
      <c r="BC11" s="13">
        <v>292.04876464039279</v>
      </c>
      <c r="BD11" s="13">
        <v>314.40417075965502</v>
      </c>
      <c r="BE11" s="13">
        <v>330.16063540000005</v>
      </c>
      <c r="BF11" s="13">
        <v>340.06026600000007</v>
      </c>
      <c r="BG11" s="13">
        <v>327.54703999999998</v>
      </c>
      <c r="BH11" s="13">
        <v>322.27686</v>
      </c>
      <c r="BI11" s="13">
        <v>355.26464180000005</v>
      </c>
      <c r="BJ11" s="13">
        <v>403.56354060000007</v>
      </c>
      <c r="BK11" s="13">
        <v>365.94445140000005</v>
      </c>
      <c r="BL11" s="13">
        <v>415.26</v>
      </c>
      <c r="BM11" s="13">
        <v>445.23599999999999</v>
      </c>
      <c r="BN11" s="13">
        <v>437.48770525116555</v>
      </c>
      <c r="BO11" s="13">
        <v>491.98099999999999</v>
      </c>
      <c r="BP11" s="13">
        <v>403.125</v>
      </c>
      <c r="BQ11" s="13">
        <v>272.10399999999998</v>
      </c>
      <c r="BR11" s="13">
        <v>417.53800000000001</v>
      </c>
      <c r="BS11" s="13">
        <v>446.91399999999999</v>
      </c>
      <c r="BT11" s="13">
        <v>404.27600000000001</v>
      </c>
      <c r="BU11" s="13">
        <v>399.41500000000002</v>
      </c>
      <c r="BV11" s="13">
        <v>415.93200000000002</v>
      </c>
      <c r="BW11" s="13">
        <v>388.42200000000003</v>
      </c>
      <c r="BX11" s="13">
        <v>333.553</v>
      </c>
      <c r="BY11" s="13">
        <v>404.70499999999998</v>
      </c>
      <c r="BZ11" s="13">
        <v>372.154</v>
      </c>
      <c r="CA11" s="13">
        <v>399.52600000000001</v>
      </c>
      <c r="CB11" s="13">
        <v>309.61500000000001</v>
      </c>
      <c r="CC11" s="13">
        <v>341.67099999999999</v>
      </c>
      <c r="CD11" s="13">
        <v>382.21199999999999</v>
      </c>
      <c r="CE11" s="13">
        <v>401.22</v>
      </c>
      <c r="CF11" s="13">
        <v>282.86900000000003</v>
      </c>
      <c r="CG11" s="13">
        <v>402.363</v>
      </c>
      <c r="CH11" s="13">
        <v>411.33499999999998</v>
      </c>
      <c r="CI11" s="13">
        <v>412.53199999999998</v>
      </c>
      <c r="CJ11" s="13">
        <v>341.67099999999999</v>
      </c>
    </row>
    <row r="12" spans="1:88" ht="20.149999999999999" customHeight="1" x14ac:dyDescent="0.3">
      <c r="A12" s="12" t="s">
        <v>7</v>
      </c>
      <c r="B12" s="13">
        <v>586.40550135033368</v>
      </c>
      <c r="C12" s="13">
        <v>564.24824552846633</v>
      </c>
      <c r="D12" s="13">
        <v>539.53116990259912</v>
      </c>
      <c r="E12" s="13">
        <v>529.03842469135918</v>
      </c>
      <c r="F12" s="13">
        <v>512.09510507866457</v>
      </c>
      <c r="G12" s="13">
        <v>485.59868617817375</v>
      </c>
      <c r="H12" s="13">
        <v>452.05613273143746</v>
      </c>
      <c r="I12" s="13">
        <v>483.43355012080355</v>
      </c>
      <c r="J12" s="13">
        <v>446.35068886977018</v>
      </c>
      <c r="K12" s="13">
        <v>415.16182052650106</v>
      </c>
      <c r="L12" s="13">
        <v>425.1128586156841</v>
      </c>
      <c r="M12" s="13">
        <v>442.7601163512079</v>
      </c>
      <c r="N12" s="13">
        <v>378.11150968948357</v>
      </c>
      <c r="O12" s="13">
        <v>402.61862042057959</v>
      </c>
      <c r="P12" s="13">
        <v>371.20223525218205</v>
      </c>
      <c r="Q12" s="13">
        <v>342.47317245380788</v>
      </c>
      <c r="R12" s="41">
        <f t="shared" si="4"/>
        <v>334.63812882237085</v>
      </c>
      <c r="S12" s="14">
        <v>326.80308519093376</v>
      </c>
      <c r="T12" s="13">
        <v>308.30795552060971</v>
      </c>
      <c r="U12" s="13">
        <v>301.68817303205202</v>
      </c>
      <c r="V12" s="13">
        <v>343.85688462832144</v>
      </c>
      <c r="W12" s="13">
        <v>337.6863013949278</v>
      </c>
      <c r="X12" s="13">
        <v>333.84262258666001</v>
      </c>
      <c r="Y12" s="13">
        <v>377.33628415874665</v>
      </c>
      <c r="Z12" s="13">
        <v>388.83717867227017</v>
      </c>
      <c r="AA12" s="13">
        <v>385.82224466505812</v>
      </c>
      <c r="AB12" s="13">
        <v>343.47070598482702</v>
      </c>
      <c r="AC12" s="13">
        <v>365.26537437046551</v>
      </c>
      <c r="AD12" s="13">
        <v>319.77053564877724</v>
      </c>
      <c r="AE12" s="13">
        <v>317.84773949471867</v>
      </c>
      <c r="AF12" s="13">
        <v>323.99398933281083</v>
      </c>
      <c r="AG12" s="13">
        <v>317.30295073178002</v>
      </c>
      <c r="AH12" s="13">
        <v>351.72346142832822</v>
      </c>
      <c r="AI12" s="13">
        <v>346.68727764823734</v>
      </c>
      <c r="AJ12" s="13">
        <v>277.6180631598354</v>
      </c>
      <c r="AK12" s="13">
        <v>371.33850250890146</v>
      </c>
      <c r="AL12" s="13">
        <v>358.63912146458722</v>
      </c>
      <c r="AM12" s="13">
        <v>370.50741148777701</v>
      </c>
      <c r="AN12" s="13">
        <v>294.63131017288941</v>
      </c>
      <c r="AO12" s="13">
        <v>387.18220331761711</v>
      </c>
      <c r="AP12" s="13">
        <v>342.28847305807983</v>
      </c>
      <c r="AQ12" s="13">
        <v>328.6106444205767</v>
      </c>
      <c r="AR12" s="13">
        <v>330.57967194463686</v>
      </c>
      <c r="AS12" s="13">
        <v>374.82386917020682</v>
      </c>
      <c r="AT12" s="13">
        <v>396.36857786954602</v>
      </c>
      <c r="AU12" s="13">
        <v>343.15284202907134</v>
      </c>
      <c r="AV12" s="13">
        <v>299.70609923616848</v>
      </c>
      <c r="AW12" s="13">
        <v>398.31735026859809</v>
      </c>
      <c r="AX12" s="41">
        <f t="shared" si="5"/>
        <v>435.63220820793197</v>
      </c>
      <c r="AY12" s="41">
        <f t="shared" si="6"/>
        <v>454.28963717759888</v>
      </c>
      <c r="AZ12" s="41">
        <f t="shared" si="7"/>
        <v>463.61835166243236</v>
      </c>
      <c r="BA12" s="30">
        <v>472.94706614726579</v>
      </c>
      <c r="BB12" s="13">
        <v>414.83435989995758</v>
      </c>
      <c r="BC12" s="13">
        <v>447.16292263924311</v>
      </c>
      <c r="BD12" s="13">
        <v>407.61428194956426</v>
      </c>
      <c r="BE12" s="13">
        <v>460.20974260000003</v>
      </c>
      <c r="BF12" s="13">
        <v>458.79752100000007</v>
      </c>
      <c r="BG12" s="13">
        <v>404.95848999999993</v>
      </c>
      <c r="BH12" s="13">
        <v>387.72081999999995</v>
      </c>
      <c r="BI12" s="13">
        <v>461.03146880000008</v>
      </c>
      <c r="BJ12" s="13">
        <v>500.0044896</v>
      </c>
      <c r="BK12" s="13">
        <v>556.66537740000012</v>
      </c>
      <c r="BL12" s="13">
        <v>492.83100000000002</v>
      </c>
      <c r="BM12" s="13">
        <v>587.48500000000001</v>
      </c>
      <c r="BN12" s="13">
        <v>608.34338365821566</v>
      </c>
      <c r="BO12" s="13">
        <v>583.83699999999999</v>
      </c>
      <c r="BP12" s="13">
        <v>540.202</v>
      </c>
      <c r="BQ12" s="13">
        <v>417.81700000000001</v>
      </c>
      <c r="BR12" s="13">
        <v>558.99</v>
      </c>
      <c r="BS12" s="13">
        <v>705.149</v>
      </c>
      <c r="BT12" s="13">
        <v>552.21</v>
      </c>
      <c r="BU12" s="13">
        <v>629.18700000000001</v>
      </c>
      <c r="BV12" s="13">
        <v>548.42899999999997</v>
      </c>
      <c r="BW12" s="13">
        <v>572.30499999999995</v>
      </c>
      <c r="BX12" s="13">
        <v>464.72800000000001</v>
      </c>
      <c r="BY12" s="13">
        <v>580.86599999999999</v>
      </c>
      <c r="BZ12" s="13">
        <v>583.23900000000003</v>
      </c>
      <c r="CA12" s="13">
        <v>536.75199999999995</v>
      </c>
      <c r="CB12" s="13">
        <v>466.29599999999999</v>
      </c>
      <c r="CC12" s="13">
        <v>532.46199999999999</v>
      </c>
      <c r="CD12" s="13">
        <v>511.75599999999997</v>
      </c>
      <c r="CE12" s="13">
        <v>524.82500000000005</v>
      </c>
      <c r="CF12" s="13">
        <v>549.44600000000003</v>
      </c>
      <c r="CG12" s="13">
        <v>637.48900000000003</v>
      </c>
      <c r="CH12" s="13">
        <v>578.45399999999995</v>
      </c>
      <c r="CI12" s="13">
        <v>549.12400000000002</v>
      </c>
      <c r="CJ12" s="13">
        <v>495.16500000000002</v>
      </c>
    </row>
    <row r="13" spans="1:88" ht="20.149999999999999" customHeight="1" x14ac:dyDescent="0.3">
      <c r="A13" s="12" t="s">
        <v>8</v>
      </c>
      <c r="B13" s="13">
        <v>296.68201166215226</v>
      </c>
      <c r="C13" s="13">
        <v>287.09705997008933</v>
      </c>
      <c r="D13" s="13">
        <v>252.58314455329247</v>
      </c>
      <c r="E13" s="13">
        <v>262.32176162358132</v>
      </c>
      <c r="F13" s="13">
        <v>299.02843603744725</v>
      </c>
      <c r="G13" s="13">
        <v>257.25430302396165</v>
      </c>
      <c r="H13" s="13">
        <v>231.08920468853012</v>
      </c>
      <c r="I13" s="13">
        <v>217.68784418404434</v>
      </c>
      <c r="J13" s="13">
        <v>243.04309368304956</v>
      </c>
      <c r="K13" s="13">
        <v>212.96281393082984</v>
      </c>
      <c r="L13" s="13">
        <v>187.64156246701913</v>
      </c>
      <c r="M13" s="13">
        <v>229.98199934623634</v>
      </c>
      <c r="N13" s="13">
        <v>203.18894765766021</v>
      </c>
      <c r="O13" s="13">
        <v>177.26522974738688</v>
      </c>
      <c r="P13" s="13">
        <v>158.5881260910981</v>
      </c>
      <c r="Q13" s="13">
        <v>189.80148164593396</v>
      </c>
      <c r="R13" s="41">
        <f t="shared" si="4"/>
        <v>180.15905625952774</v>
      </c>
      <c r="S13" s="14">
        <v>170.5166308731215</v>
      </c>
      <c r="T13" s="13">
        <v>160.41205330727584</v>
      </c>
      <c r="U13" s="13">
        <v>158.57973275667717</v>
      </c>
      <c r="V13" s="13">
        <v>175.05421078970869</v>
      </c>
      <c r="W13" s="13">
        <v>140.74412064272602</v>
      </c>
      <c r="X13" s="13">
        <v>188.78640318798344</v>
      </c>
      <c r="Y13" s="13">
        <v>216.25333049270196</v>
      </c>
      <c r="Z13" s="13">
        <v>222.42526000895228</v>
      </c>
      <c r="AA13" s="13">
        <v>180.5227833881807</v>
      </c>
      <c r="AB13" s="13">
        <v>157.03025851213002</v>
      </c>
      <c r="AC13" s="13">
        <v>203.73297496648493</v>
      </c>
      <c r="AD13" s="13">
        <v>178.51116055509169</v>
      </c>
      <c r="AE13" s="13">
        <v>169.59995101302763</v>
      </c>
      <c r="AF13" s="13">
        <v>185.31857985397212</v>
      </c>
      <c r="AG13" s="13">
        <v>174.39205568378406</v>
      </c>
      <c r="AH13" s="13">
        <v>177.71823404573595</v>
      </c>
      <c r="AI13" s="13">
        <v>174.74798926371415</v>
      </c>
      <c r="AJ13" s="13">
        <v>167.97093832290994</v>
      </c>
      <c r="AK13" s="13">
        <v>174.59789436718708</v>
      </c>
      <c r="AL13" s="13">
        <v>171.11645225975423</v>
      </c>
      <c r="AM13" s="13">
        <v>152.93432993506011</v>
      </c>
      <c r="AN13" s="13">
        <v>162.2750426497976</v>
      </c>
      <c r="AO13" s="13">
        <v>155.79899208819612</v>
      </c>
      <c r="AP13" s="13">
        <v>157.91602059170452</v>
      </c>
      <c r="AQ13" s="13">
        <v>130.71860852943749</v>
      </c>
      <c r="AR13" s="13">
        <v>132.41605203995374</v>
      </c>
      <c r="AS13" s="13">
        <v>168.53933503088035</v>
      </c>
      <c r="AT13" s="13">
        <v>149.00589997260005</v>
      </c>
      <c r="AU13" s="13">
        <v>138.59615144359771</v>
      </c>
      <c r="AV13" s="13">
        <v>139.29740473439998</v>
      </c>
      <c r="AW13" s="13">
        <v>157.75952790121192</v>
      </c>
      <c r="AX13" s="41">
        <f t="shared" si="5"/>
        <v>212.43524094106169</v>
      </c>
      <c r="AY13" s="41">
        <f t="shared" si="6"/>
        <v>239.77309746098658</v>
      </c>
      <c r="AZ13" s="41">
        <f t="shared" si="7"/>
        <v>253.442025720949</v>
      </c>
      <c r="BA13" s="30">
        <v>267.11095398091146</v>
      </c>
      <c r="BB13" s="13">
        <v>243.9086566883891</v>
      </c>
      <c r="BC13" s="13">
        <v>241.49738691826872</v>
      </c>
      <c r="BD13" s="13">
        <v>215.21294338602499</v>
      </c>
      <c r="BE13" s="13">
        <v>239.77097000000001</v>
      </c>
      <c r="BF13" s="13">
        <v>222.88462559999999</v>
      </c>
      <c r="BG13" s="13">
        <v>206.97727999999998</v>
      </c>
      <c r="BH13" s="13">
        <v>201.37783999999999</v>
      </c>
      <c r="BI13" s="13">
        <v>253.23848440000006</v>
      </c>
      <c r="BJ13" s="13">
        <v>249.45897240000002</v>
      </c>
      <c r="BK13" s="13">
        <v>263.13469380000004</v>
      </c>
      <c r="BL13" s="13">
        <v>245.67</v>
      </c>
      <c r="BM13" s="13">
        <v>283.887</v>
      </c>
      <c r="BN13" s="13">
        <v>275.95212855613869</v>
      </c>
      <c r="BO13" s="13">
        <v>251.994</v>
      </c>
      <c r="BP13" s="13">
        <v>262.12799999999999</v>
      </c>
      <c r="BQ13" s="13">
        <v>138.06399999999999</v>
      </c>
      <c r="BR13" s="13">
        <v>281.03500000000003</v>
      </c>
      <c r="BS13" s="13">
        <v>331.12400000000002</v>
      </c>
      <c r="BT13" s="13">
        <v>258.661</v>
      </c>
      <c r="BU13" s="13">
        <v>269.38200000000001</v>
      </c>
      <c r="BV13" s="13">
        <v>274.88600000000002</v>
      </c>
      <c r="BW13" s="13">
        <v>277.52199999999999</v>
      </c>
      <c r="BX13" s="13">
        <v>231.607</v>
      </c>
      <c r="BY13" s="13">
        <v>203.36</v>
      </c>
      <c r="BZ13" s="13">
        <v>210.16900000000001</v>
      </c>
      <c r="CA13" s="13">
        <v>218.40899999999999</v>
      </c>
      <c r="CB13" s="13">
        <v>239.541</v>
      </c>
      <c r="CC13" s="13">
        <v>282.95699999999999</v>
      </c>
      <c r="CD13" s="13">
        <v>226.28299999999999</v>
      </c>
      <c r="CE13" s="13">
        <v>223.46299999999999</v>
      </c>
      <c r="CF13" s="13">
        <v>260.548</v>
      </c>
      <c r="CG13" s="13">
        <v>277.536</v>
      </c>
      <c r="CH13" s="13">
        <v>253.45</v>
      </c>
      <c r="CI13" s="13">
        <v>295.78399999999999</v>
      </c>
      <c r="CJ13" s="13">
        <v>234.90600000000001</v>
      </c>
    </row>
    <row r="14" spans="1:88" ht="20.149999999999999" customHeight="1" x14ac:dyDescent="0.3">
      <c r="A14" s="12" t="s">
        <v>9</v>
      </c>
      <c r="B14" s="13">
        <v>128.5026688886486</v>
      </c>
      <c r="C14" s="13">
        <v>132.3664078751768</v>
      </c>
      <c r="D14" s="13">
        <v>140.39433788182609</v>
      </c>
      <c r="E14" s="13">
        <v>142.95493530125475</v>
      </c>
      <c r="F14" s="13">
        <v>147.17484835600439</v>
      </c>
      <c r="G14" s="13">
        <v>134.85274952692689</v>
      </c>
      <c r="H14" s="13">
        <v>114.58286341822193</v>
      </c>
      <c r="I14" s="13">
        <v>141.68024341159381</v>
      </c>
      <c r="J14" s="13">
        <v>152.43777775980138</v>
      </c>
      <c r="K14" s="13">
        <v>112.28214777504361</v>
      </c>
      <c r="L14" s="13">
        <v>113.69340234237119</v>
      </c>
      <c r="M14" s="13">
        <v>121.47576859780901</v>
      </c>
      <c r="N14" s="13">
        <v>110.5528851223378</v>
      </c>
      <c r="O14" s="13">
        <v>109.95090726855456</v>
      </c>
      <c r="P14" s="13">
        <v>110.03516512894373</v>
      </c>
      <c r="Q14" s="13">
        <v>120.12769942715637</v>
      </c>
      <c r="R14" s="41">
        <f t="shared" si="4"/>
        <v>102.5758428045319</v>
      </c>
      <c r="S14" s="14">
        <v>85.023986181907446</v>
      </c>
      <c r="T14" s="13">
        <v>69.277495406797883</v>
      </c>
      <c r="U14" s="13">
        <v>82.705428291287518</v>
      </c>
      <c r="V14" s="13">
        <v>94.825645243415636</v>
      </c>
      <c r="W14" s="13">
        <v>93.757455045749481</v>
      </c>
      <c r="X14" s="13">
        <v>84.811194510200878</v>
      </c>
      <c r="Y14" s="13">
        <v>78.572379574839431</v>
      </c>
      <c r="Z14" s="13">
        <v>100.27764710290121</v>
      </c>
      <c r="AA14" s="13">
        <v>79.316957852282968</v>
      </c>
      <c r="AB14" s="13">
        <v>78.2665651308386</v>
      </c>
      <c r="AC14" s="13">
        <v>95.574144988990611</v>
      </c>
      <c r="AD14" s="13">
        <v>78.101696715994706</v>
      </c>
      <c r="AE14" s="13">
        <v>82.807345499101629</v>
      </c>
      <c r="AF14" s="13">
        <v>73.096940914879127</v>
      </c>
      <c r="AG14" s="13">
        <v>79.404168894715937</v>
      </c>
      <c r="AH14" s="13">
        <v>86.340493343569364</v>
      </c>
      <c r="AI14" s="13">
        <v>75.643024920322148</v>
      </c>
      <c r="AJ14" s="13">
        <v>73.237524538617009</v>
      </c>
      <c r="AK14" s="13">
        <v>91.079711453337538</v>
      </c>
      <c r="AL14" s="13">
        <v>103.25147719268799</v>
      </c>
      <c r="AM14" s="13">
        <v>95.020147513614617</v>
      </c>
      <c r="AN14" s="13">
        <v>100.38286925261089</v>
      </c>
      <c r="AO14" s="13">
        <v>94.399520453096741</v>
      </c>
      <c r="AP14" s="13">
        <v>107.19530248103818</v>
      </c>
      <c r="AQ14" s="13">
        <v>83.484255947082744</v>
      </c>
      <c r="AR14" s="13">
        <v>79.493657486184489</v>
      </c>
      <c r="AS14" s="13">
        <v>91.253120277305058</v>
      </c>
      <c r="AT14" s="13">
        <v>82.187730733429561</v>
      </c>
      <c r="AU14" s="13">
        <v>73.953601240710043</v>
      </c>
      <c r="AV14" s="13">
        <v>77.726654074148669</v>
      </c>
      <c r="AW14" s="13">
        <v>77.679723367264046</v>
      </c>
      <c r="AX14" s="41">
        <f t="shared" si="5"/>
        <v>95.295083787798035</v>
      </c>
      <c r="AY14" s="41">
        <f t="shared" si="6"/>
        <v>104.10276399806503</v>
      </c>
      <c r="AZ14" s="41">
        <f t="shared" si="7"/>
        <v>108.50660410319853</v>
      </c>
      <c r="BA14" s="30">
        <v>112.91044420833201</v>
      </c>
      <c r="BB14" s="13">
        <v>101.95183618032168</v>
      </c>
      <c r="BC14" s="13">
        <v>98.009074276396362</v>
      </c>
      <c r="BD14" s="13">
        <v>87.915933079386505</v>
      </c>
      <c r="BE14" s="13">
        <v>105.5174104</v>
      </c>
      <c r="BF14" s="13">
        <v>119.3544261</v>
      </c>
      <c r="BG14" s="13">
        <v>103.13312000000001</v>
      </c>
      <c r="BH14" s="13">
        <v>123.52501999999998</v>
      </c>
      <c r="BI14" s="13">
        <v>137.06665770000006</v>
      </c>
      <c r="BJ14" s="13">
        <v>135.55454219999999</v>
      </c>
      <c r="BK14" s="13">
        <v>124.83854460000002</v>
      </c>
      <c r="BL14" s="13">
        <v>144.09899999999999</v>
      </c>
      <c r="BM14" s="13">
        <v>171.22200000000001</v>
      </c>
      <c r="BN14" s="13">
        <v>133.35710913456043</v>
      </c>
      <c r="BO14" s="13">
        <v>139.905</v>
      </c>
      <c r="BP14" s="13">
        <v>124.672</v>
      </c>
      <c r="BQ14" s="13">
        <v>76.858000000000004</v>
      </c>
      <c r="BR14" s="13">
        <v>125.992</v>
      </c>
      <c r="BS14" s="13">
        <v>166.37</v>
      </c>
      <c r="BT14" s="13">
        <v>133.65299999999999</v>
      </c>
      <c r="BU14" s="13">
        <v>99.031999999999996</v>
      </c>
      <c r="BV14" s="13">
        <v>148.446</v>
      </c>
      <c r="BW14" s="13">
        <v>124.899</v>
      </c>
      <c r="BX14" s="13">
        <v>109.36199999999999</v>
      </c>
      <c r="BY14" s="13">
        <v>136.779</v>
      </c>
      <c r="BZ14" s="13">
        <v>91.558000000000007</v>
      </c>
      <c r="CA14" s="13">
        <v>97.97</v>
      </c>
      <c r="CB14" s="13">
        <v>102.264</v>
      </c>
      <c r="CC14" s="13">
        <v>107.947</v>
      </c>
      <c r="CD14" s="13">
        <v>90.113</v>
      </c>
      <c r="CE14" s="13">
        <v>115.246</v>
      </c>
      <c r="CF14" s="13">
        <v>118.19199999999999</v>
      </c>
      <c r="CG14" s="13">
        <v>163.351</v>
      </c>
      <c r="CH14" s="13">
        <v>137.07</v>
      </c>
      <c r="CI14" s="13">
        <v>150.74700000000001</v>
      </c>
      <c r="CJ14" s="13">
        <v>126.029</v>
      </c>
    </row>
    <row r="15" spans="1:88" ht="20.149999999999999" customHeight="1" thickBot="1" x14ac:dyDescent="0.35">
      <c r="A15" s="15" t="s">
        <v>10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6"/>
      <c r="Z15" s="16"/>
      <c r="AA15" s="16"/>
      <c r="AB15" s="16"/>
      <c r="AC15" s="16"/>
      <c r="AD15" s="16"/>
      <c r="AE15" s="16"/>
      <c r="AF15" s="16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34"/>
      <c r="AY15" s="34"/>
      <c r="AZ15" s="34"/>
      <c r="BA15" s="31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</row>
    <row r="16" spans="1:88" ht="20.149999999999999" customHeight="1" x14ac:dyDescent="0.3">
      <c r="A16" s="12" t="s">
        <v>11</v>
      </c>
      <c r="B16" s="13">
        <v>823.59027164887539</v>
      </c>
      <c r="C16" s="13">
        <v>800.21454784545529</v>
      </c>
      <c r="D16" s="13">
        <v>731.7437427702564</v>
      </c>
      <c r="E16" s="13">
        <v>731.21508962240273</v>
      </c>
      <c r="F16" s="13">
        <v>739.93003281000551</v>
      </c>
      <c r="G16" s="13">
        <v>652.04732786816032</v>
      </c>
      <c r="H16" s="13">
        <v>608.74905696881865</v>
      </c>
      <c r="I16" s="13">
        <v>625.10766487566684</v>
      </c>
      <c r="J16" s="13">
        <v>634.56318867812445</v>
      </c>
      <c r="K16" s="13">
        <v>569.55092577533946</v>
      </c>
      <c r="L16" s="13">
        <v>521.23338709045868</v>
      </c>
      <c r="M16" s="13">
        <v>586.39367359124276</v>
      </c>
      <c r="N16" s="13">
        <v>512.475055210562</v>
      </c>
      <c r="O16" s="13">
        <v>508.00598195147012</v>
      </c>
      <c r="P16" s="13">
        <v>432.53772316723627</v>
      </c>
      <c r="Q16" s="13">
        <v>491.2201073022739</v>
      </c>
      <c r="R16" s="41">
        <f t="shared" ref="R16:R19" si="8">+(Q16+S16)/2</f>
        <v>460.51736930186973</v>
      </c>
      <c r="S16" s="14">
        <v>429.81463130146557</v>
      </c>
      <c r="T16" s="13">
        <v>404.26172915140154</v>
      </c>
      <c r="U16" s="13">
        <v>430.62474696628624</v>
      </c>
      <c r="V16" s="13">
        <v>445.60057230632378</v>
      </c>
      <c r="W16" s="13">
        <v>403.5814773503609</v>
      </c>
      <c r="X16" s="13">
        <v>434.51730561678096</v>
      </c>
      <c r="Y16" s="13">
        <v>528.40668896256682</v>
      </c>
      <c r="Z16" s="13">
        <v>537.54459687536325</v>
      </c>
      <c r="AA16" s="13">
        <v>475.02847493806075</v>
      </c>
      <c r="AB16" s="13">
        <v>447.26843060658013</v>
      </c>
      <c r="AC16" s="13">
        <v>494.77118055654353</v>
      </c>
      <c r="AD16" s="13">
        <v>432.83420856466381</v>
      </c>
      <c r="AE16" s="13">
        <v>411.99248024502117</v>
      </c>
      <c r="AF16" s="13">
        <v>422.77341804558614</v>
      </c>
      <c r="AG16" s="13">
        <v>397.08440963867508</v>
      </c>
      <c r="AH16" s="13">
        <v>454.09445298910845</v>
      </c>
      <c r="AI16" s="13">
        <v>455.97724609318954</v>
      </c>
      <c r="AJ16" s="13">
        <v>407.3539876193455</v>
      </c>
      <c r="AK16" s="13">
        <v>472.97391861091774</v>
      </c>
      <c r="AL16" s="13">
        <v>440.91887865025325</v>
      </c>
      <c r="AM16" s="13">
        <v>457.06297281787511</v>
      </c>
      <c r="AN16" s="13">
        <v>425.54707460922214</v>
      </c>
      <c r="AO16" s="13">
        <v>499.24635258572658</v>
      </c>
      <c r="AP16" s="13">
        <v>452.03095794789886</v>
      </c>
      <c r="AQ16" s="13">
        <v>393.91500609009802</v>
      </c>
      <c r="AR16" s="13">
        <v>423.69824585352711</v>
      </c>
      <c r="AS16" s="13">
        <v>495.38796041574068</v>
      </c>
      <c r="AT16" s="13">
        <v>485.10648088962341</v>
      </c>
      <c r="AU16" s="13">
        <v>473.60670618241454</v>
      </c>
      <c r="AV16" s="13">
        <v>392.37914530096282</v>
      </c>
      <c r="AW16" s="13">
        <v>478.80968439815456</v>
      </c>
      <c r="AX16" s="41">
        <f t="shared" ref="AX16:AX19" si="9">+(AW16+BA16)/2</f>
        <v>550.70593104719251</v>
      </c>
      <c r="AY16" s="41">
        <f t="shared" ref="AY16:AY19" si="10">+(AX16+BA16)/2</f>
        <v>586.65405437171148</v>
      </c>
      <c r="AZ16" s="41">
        <f t="shared" ref="AZ16:AZ19" si="11">+(AY16+BA16)/2</f>
        <v>604.62811603397097</v>
      </c>
      <c r="BA16" s="30">
        <v>622.60217769623046</v>
      </c>
      <c r="BB16" s="13">
        <v>528.15874573536462</v>
      </c>
      <c r="BC16" s="13">
        <v>557.08423801043284</v>
      </c>
      <c r="BD16" s="13">
        <v>534.20917882056301</v>
      </c>
      <c r="BE16" s="13">
        <v>615.85832800000003</v>
      </c>
      <c r="BF16" s="13">
        <v>578.94790590000002</v>
      </c>
      <c r="BG16" s="13">
        <v>501.0256500000001</v>
      </c>
      <c r="BH16" s="13">
        <v>538.11385999999993</v>
      </c>
      <c r="BI16" s="13">
        <v>618.43549270000017</v>
      </c>
      <c r="BJ16" s="13">
        <v>681.23935440000002</v>
      </c>
      <c r="BK16" s="13">
        <v>697.76574120000009</v>
      </c>
      <c r="BL16" s="13">
        <v>684.66300000000001</v>
      </c>
      <c r="BM16" s="13">
        <v>800.64200000000005</v>
      </c>
      <c r="BN16" s="13">
        <v>757.04999508975754</v>
      </c>
      <c r="BO16" s="13">
        <v>746.10699999999997</v>
      </c>
      <c r="BP16" s="13">
        <v>725.84100000000001</v>
      </c>
      <c r="BQ16" s="13">
        <v>512.22299999999996</v>
      </c>
      <c r="BR16" s="13">
        <v>806.72299999999996</v>
      </c>
      <c r="BS16" s="13">
        <v>916.01800000000003</v>
      </c>
      <c r="BT16" s="13">
        <v>707.21699999999998</v>
      </c>
      <c r="BU16" s="13">
        <v>662.58799999999997</v>
      </c>
      <c r="BV16" s="13">
        <v>725.67100000000005</v>
      </c>
      <c r="BW16" s="13">
        <v>736.16200000000003</v>
      </c>
      <c r="BX16" s="13">
        <v>602.16300000000001</v>
      </c>
      <c r="BY16" s="13">
        <v>693.46400000000006</v>
      </c>
      <c r="BZ16" s="13">
        <v>656.476</v>
      </c>
      <c r="CA16" s="13">
        <v>685.84299999999996</v>
      </c>
      <c r="CB16" s="13">
        <v>591.24199999999996</v>
      </c>
      <c r="CC16" s="13">
        <v>682.22799999999995</v>
      </c>
      <c r="CD16" s="13">
        <v>649.91399999999999</v>
      </c>
      <c r="CE16" s="13">
        <v>638.351</v>
      </c>
      <c r="CF16" s="13">
        <v>668.50699999999995</v>
      </c>
      <c r="CG16" s="13">
        <v>799.81299999999999</v>
      </c>
      <c r="CH16" s="13">
        <v>727.18399999999997</v>
      </c>
      <c r="CI16" s="13">
        <v>742.19500000000005</v>
      </c>
      <c r="CJ16" s="13">
        <v>669.56500000000005</v>
      </c>
    </row>
    <row r="17" spans="1:88" ht="20.149999999999999" customHeight="1" x14ac:dyDescent="0.3">
      <c r="A17" s="12" t="s">
        <v>12</v>
      </c>
      <c r="B17" s="13">
        <v>417.39048608528208</v>
      </c>
      <c r="C17" s="13">
        <v>381.90450469185083</v>
      </c>
      <c r="D17" s="13">
        <v>397.45238866981919</v>
      </c>
      <c r="E17" s="13">
        <v>398.40896351215372</v>
      </c>
      <c r="F17" s="13">
        <v>408.59596716570582</v>
      </c>
      <c r="G17" s="13">
        <v>404.59090477887565</v>
      </c>
      <c r="H17" s="13">
        <v>327.75163205017378</v>
      </c>
      <c r="I17" s="13">
        <v>343.21601278223767</v>
      </c>
      <c r="J17" s="13">
        <v>331.8161928439493</v>
      </c>
      <c r="K17" s="13">
        <v>305.47052353234898</v>
      </c>
      <c r="L17" s="13">
        <v>286.44623840077304</v>
      </c>
      <c r="M17" s="13">
        <v>335.65303356487698</v>
      </c>
      <c r="N17" s="13">
        <v>298.93452469303446</v>
      </c>
      <c r="O17" s="13">
        <v>257.17178281884264</v>
      </c>
      <c r="P17" s="13">
        <v>263.08146424932767</v>
      </c>
      <c r="Q17" s="13">
        <v>247.15636903106869</v>
      </c>
      <c r="R17" s="41">
        <f t="shared" si="8"/>
        <v>232.44897640475637</v>
      </c>
      <c r="S17" s="14">
        <v>217.74158377844407</v>
      </c>
      <c r="T17" s="13">
        <v>226.1761718858213</v>
      </c>
      <c r="U17" s="13">
        <v>219.48424201673319</v>
      </c>
      <c r="V17" s="13">
        <v>254.25863376380849</v>
      </c>
      <c r="W17" s="13">
        <v>253.94773985000518</v>
      </c>
      <c r="X17" s="13">
        <v>260.20008933376346</v>
      </c>
      <c r="Y17" s="13">
        <v>294.48037950855326</v>
      </c>
      <c r="Z17" s="13">
        <v>253.1963497494892</v>
      </c>
      <c r="AA17" s="13">
        <v>291.22557120755175</v>
      </c>
      <c r="AB17" s="13">
        <v>237.37312520646148</v>
      </c>
      <c r="AC17" s="13">
        <v>270.04466290469094</v>
      </c>
      <c r="AD17" s="13">
        <v>243.888176812029</v>
      </c>
      <c r="AE17" s="13">
        <v>233.49392095062365</v>
      </c>
      <c r="AF17" s="13">
        <v>230.56034789975044</v>
      </c>
      <c r="AG17" s="13">
        <v>278.56408358453683</v>
      </c>
      <c r="AH17" s="13">
        <v>246.87234155730312</v>
      </c>
      <c r="AI17" s="13">
        <v>236.28593797487326</v>
      </c>
      <c r="AJ17" s="13">
        <v>211.04699829643374</v>
      </c>
      <c r="AK17" s="13">
        <v>285.96849570334433</v>
      </c>
      <c r="AL17" s="13">
        <v>291.23347114851998</v>
      </c>
      <c r="AM17" s="13">
        <v>271.3963729720935</v>
      </c>
      <c r="AN17" s="13">
        <v>228.57527914080052</v>
      </c>
      <c r="AO17" s="13">
        <v>261.32133601317508</v>
      </c>
      <c r="AP17" s="13">
        <v>235.67939408116953</v>
      </c>
      <c r="AQ17" s="13">
        <v>229.51251688274749</v>
      </c>
      <c r="AR17" s="13">
        <v>233.24023161264503</v>
      </c>
      <c r="AS17" s="13">
        <v>230.65876238066656</v>
      </c>
      <c r="AT17" s="13">
        <v>257.50753023322562</v>
      </c>
      <c r="AU17" s="13">
        <v>203.95378075168111</v>
      </c>
      <c r="AV17" s="13">
        <v>215.83460561785509</v>
      </c>
      <c r="AW17" s="13">
        <v>252.52818963801835</v>
      </c>
      <c r="AX17" s="41">
        <f t="shared" si="9"/>
        <v>298.20197891521792</v>
      </c>
      <c r="AY17" s="41">
        <f t="shared" si="10"/>
        <v>321.03887355381772</v>
      </c>
      <c r="AZ17" s="41">
        <f t="shared" si="11"/>
        <v>332.45732087311762</v>
      </c>
      <c r="BA17" s="30">
        <v>343.87576819241752</v>
      </c>
      <c r="BB17" s="13">
        <v>315.09722066739238</v>
      </c>
      <c r="BC17" s="13">
        <v>264.66609370819322</v>
      </c>
      <c r="BD17" s="13">
        <v>240.52140117559844</v>
      </c>
      <c r="BE17" s="13">
        <v>291.26187419999997</v>
      </c>
      <c r="BF17" s="13">
        <v>305.42696730000006</v>
      </c>
      <c r="BG17" s="13">
        <v>279.06401</v>
      </c>
      <c r="BH17" s="13">
        <v>266.68140999999997</v>
      </c>
      <c r="BI17" s="13">
        <v>309.59696380000008</v>
      </c>
      <c r="BJ17" s="13">
        <v>346.952133</v>
      </c>
      <c r="BK17" s="13">
        <v>347.61153239999999</v>
      </c>
      <c r="BL17" s="13">
        <v>328.03300000000002</v>
      </c>
      <c r="BM17" s="13">
        <v>368.435</v>
      </c>
      <c r="BN17" s="13">
        <v>376.01663701879045</v>
      </c>
      <c r="BO17" s="13">
        <v>373.952</v>
      </c>
      <c r="BP17" s="13">
        <v>331.01600000000002</v>
      </c>
      <c r="BQ17" s="13">
        <v>207.643</v>
      </c>
      <c r="BR17" s="13">
        <v>310.77699999999999</v>
      </c>
      <c r="BS17" s="13">
        <v>425.262</v>
      </c>
      <c r="BT17" s="13">
        <v>350.55399999999997</v>
      </c>
      <c r="BU17" s="13">
        <v>409.68799999999999</v>
      </c>
      <c r="BV17" s="13">
        <v>311.476</v>
      </c>
      <c r="BW17" s="13">
        <v>379.298</v>
      </c>
      <c r="BX17" s="13">
        <v>278.17700000000002</v>
      </c>
      <c r="BY17" s="13">
        <v>333.26600000000002</v>
      </c>
      <c r="BZ17" s="13">
        <v>337.65499999999997</v>
      </c>
      <c r="CA17" s="13">
        <v>310.77</v>
      </c>
      <c r="CB17" s="13">
        <v>332.4</v>
      </c>
      <c r="CC17" s="13">
        <v>339.25400000000002</v>
      </c>
      <c r="CD17" s="13">
        <v>317.375</v>
      </c>
      <c r="CE17" s="13">
        <v>344.19099999999997</v>
      </c>
      <c r="CF17" s="13">
        <v>352.91</v>
      </c>
      <c r="CG17" s="13">
        <v>397.83300000000003</v>
      </c>
      <c r="CH17" s="13">
        <v>338.01</v>
      </c>
      <c r="CI17" s="13">
        <v>366.72899999999998</v>
      </c>
      <c r="CJ17" s="13">
        <v>261.92899999999997</v>
      </c>
    </row>
    <row r="18" spans="1:88" ht="20.149999999999999" customHeight="1" x14ac:dyDescent="0.3">
      <c r="A18" s="12" t="s">
        <v>13</v>
      </c>
      <c r="B18" s="13">
        <v>450.53104353259869</v>
      </c>
      <c r="C18" s="13">
        <v>448.64460442770405</v>
      </c>
      <c r="D18" s="13">
        <v>443.82896689182667</v>
      </c>
      <c r="E18" s="13">
        <v>413.67455238306559</v>
      </c>
      <c r="F18" s="13">
        <v>415.20778336214704</v>
      </c>
      <c r="G18" s="13">
        <v>390.75998437947163</v>
      </c>
      <c r="H18" s="13">
        <v>338.32053984423538</v>
      </c>
      <c r="I18" s="13">
        <v>339.54596884341845</v>
      </c>
      <c r="J18" s="13">
        <v>376.24412824641541</v>
      </c>
      <c r="K18" s="13">
        <v>360.62082740781051</v>
      </c>
      <c r="L18" s="13">
        <v>328.04950031264093</v>
      </c>
      <c r="M18" s="13">
        <v>349.08997908511287</v>
      </c>
      <c r="N18" s="13">
        <v>330.53866459710184</v>
      </c>
      <c r="O18" s="13">
        <v>359.19717049512428</v>
      </c>
      <c r="P18" s="13">
        <v>282.70906322283753</v>
      </c>
      <c r="Q18" s="13">
        <v>314.30543075390528</v>
      </c>
      <c r="R18" s="41">
        <f t="shared" si="8"/>
        <v>313.12774510091833</v>
      </c>
      <c r="S18" s="14">
        <v>311.95005944793138</v>
      </c>
      <c r="T18" s="13">
        <v>241.06029834493228</v>
      </c>
      <c r="U18" s="13">
        <v>264.66061909747049</v>
      </c>
      <c r="V18" s="13">
        <v>284.90162977308103</v>
      </c>
      <c r="W18" s="13">
        <v>312.14061776292834</v>
      </c>
      <c r="X18" s="13">
        <v>282.56081983168889</v>
      </c>
      <c r="Y18" s="13">
        <v>316.92686584278016</v>
      </c>
      <c r="Z18" s="13">
        <v>333.92247753807948</v>
      </c>
      <c r="AA18" s="13">
        <v>353.99723114172781</v>
      </c>
      <c r="AB18" s="13">
        <v>322.74852223905248</v>
      </c>
      <c r="AC18" s="13">
        <v>311.32181677648055</v>
      </c>
      <c r="AD18" s="13">
        <v>276.76358730216452</v>
      </c>
      <c r="AE18" s="13">
        <v>271.64468526283707</v>
      </c>
      <c r="AF18" s="13">
        <v>247.30864011765604</v>
      </c>
      <c r="AG18" s="13">
        <v>261.38713558440679</v>
      </c>
      <c r="AH18" s="13">
        <v>267.80458343404166</v>
      </c>
      <c r="AI18" s="13">
        <v>260.17990628728887</v>
      </c>
      <c r="AJ18" s="13">
        <v>217.06798515696588</v>
      </c>
      <c r="AK18" s="13">
        <v>294.86054068695756</v>
      </c>
      <c r="AL18" s="13">
        <v>292.67926516340947</v>
      </c>
      <c r="AM18" s="13">
        <v>281.65753697879114</v>
      </c>
      <c r="AN18" s="13">
        <v>250.30544337303294</v>
      </c>
      <c r="AO18" s="13">
        <v>339.51030616971167</v>
      </c>
      <c r="AP18" s="13">
        <v>299.5426651875469</v>
      </c>
      <c r="AQ18" s="13">
        <v>251.15582956868252</v>
      </c>
      <c r="AR18" s="13">
        <v>246.77830724291371</v>
      </c>
      <c r="AS18" s="13">
        <v>307.28694508482693</v>
      </c>
      <c r="AT18" s="13">
        <v>273.69360907432133</v>
      </c>
      <c r="AU18" s="13">
        <v>334.14725195355248</v>
      </c>
      <c r="AV18" s="13">
        <v>235.25298055732256</v>
      </c>
      <c r="AW18" s="13">
        <v>265.22649141352287</v>
      </c>
      <c r="AX18" s="41">
        <f t="shared" si="9"/>
        <v>308.09222977704405</v>
      </c>
      <c r="AY18" s="41">
        <f t="shared" si="10"/>
        <v>329.52509895880468</v>
      </c>
      <c r="AZ18" s="41">
        <f t="shared" si="11"/>
        <v>340.24153354968496</v>
      </c>
      <c r="BA18" s="30">
        <v>350.9579681405653</v>
      </c>
      <c r="BB18" s="13">
        <v>358.23834519853051</v>
      </c>
      <c r="BC18" s="13">
        <v>373.91341769639666</v>
      </c>
      <c r="BD18" s="13">
        <v>383.63012745574366</v>
      </c>
      <c r="BE18" s="13">
        <v>376.27424500000001</v>
      </c>
      <c r="BF18" s="13">
        <v>402.81171840000002</v>
      </c>
      <c r="BG18" s="13">
        <v>433.19707999999997</v>
      </c>
      <c r="BH18" s="13">
        <v>372.17590999999999</v>
      </c>
      <c r="BI18" s="13">
        <v>426.89987850000011</v>
      </c>
      <c r="BJ18" s="13">
        <v>411.82976339999999</v>
      </c>
      <c r="BK18" s="13">
        <v>415.90329660000003</v>
      </c>
      <c r="BL18" s="13">
        <v>448.15300000000002</v>
      </c>
      <c r="BM18" s="13">
        <v>480.983</v>
      </c>
      <c r="BN18" s="13">
        <v>479.3038611088113</v>
      </c>
      <c r="BO18" s="13">
        <v>512.19799999999998</v>
      </c>
      <c r="BP18" s="13">
        <v>394.59199999999998</v>
      </c>
      <c r="BQ18" s="13">
        <v>227.33</v>
      </c>
      <c r="BR18" s="13">
        <v>392.77199999999999</v>
      </c>
      <c r="BS18" s="13">
        <v>467.81</v>
      </c>
      <c r="BT18" s="13">
        <v>441.178</v>
      </c>
      <c r="BU18" s="13">
        <v>419.43</v>
      </c>
      <c r="BV18" s="13">
        <v>476.93799999999999</v>
      </c>
      <c r="BW18" s="13">
        <v>446.57299999999998</v>
      </c>
      <c r="BX18" s="13">
        <v>379.09699999999998</v>
      </c>
      <c r="BY18" s="13">
        <v>430.45400000000001</v>
      </c>
      <c r="BZ18" s="13">
        <v>451.56099999999998</v>
      </c>
      <c r="CA18" s="13">
        <v>439.45</v>
      </c>
      <c r="CB18" s="13">
        <v>342.99</v>
      </c>
      <c r="CC18" s="13">
        <v>377.45400000000001</v>
      </c>
      <c r="CD18" s="13">
        <v>404.02300000000002</v>
      </c>
      <c r="CE18" s="13">
        <v>433.89100000000002</v>
      </c>
      <c r="CF18" s="13">
        <v>344.49799999999999</v>
      </c>
      <c r="CG18" s="13">
        <v>379.73399999999998</v>
      </c>
      <c r="CH18" s="13">
        <v>460.12799999999999</v>
      </c>
      <c r="CI18" s="13">
        <v>417.00599999999997</v>
      </c>
      <c r="CJ18" s="13">
        <v>401.923</v>
      </c>
    </row>
    <row r="19" spans="1:88" ht="20.149999999999999" customHeight="1" x14ac:dyDescent="0.3">
      <c r="A19" s="12" t="s">
        <v>14</v>
      </c>
      <c r="B19" s="13">
        <v>87.87355175097224</v>
      </c>
      <c r="C19" s="13">
        <v>117.63509128457886</v>
      </c>
      <c r="D19" s="13">
        <v>94.571785988285612</v>
      </c>
      <c r="E19" s="13">
        <v>114.27049168492846</v>
      </c>
      <c r="F19" s="13">
        <v>89.807529632001277</v>
      </c>
      <c r="G19" s="13">
        <v>104.57331034957018</v>
      </c>
      <c r="H19" s="13">
        <v>87.798281022034715</v>
      </c>
      <c r="I19" s="13">
        <v>88.038153934546955</v>
      </c>
      <c r="J19" s="13">
        <v>103.66892947029898</v>
      </c>
      <c r="K19" s="13">
        <v>80.475102219907896</v>
      </c>
      <c r="L19" s="13">
        <v>89.382519864934196</v>
      </c>
      <c r="M19" s="13">
        <v>94.022743052879704</v>
      </c>
      <c r="N19" s="13">
        <v>84.597174772927872</v>
      </c>
      <c r="O19" s="13">
        <v>86.173337067591916</v>
      </c>
      <c r="P19" s="13">
        <v>73.154746787596125</v>
      </c>
      <c r="Q19" s="13">
        <v>80.098630521584283</v>
      </c>
      <c r="R19" s="41">
        <f t="shared" si="8"/>
        <v>71.255175417813803</v>
      </c>
      <c r="S19" s="14">
        <v>62.411720314043322</v>
      </c>
      <c r="T19" s="13">
        <v>62.786887115991696</v>
      </c>
      <c r="U19" s="13">
        <v>67.889939940098117</v>
      </c>
      <c r="V19" s="13">
        <v>76.203116269478102</v>
      </c>
      <c r="W19" s="13">
        <v>80.340548778151742</v>
      </c>
      <c r="X19" s="13">
        <v>73.244597536511776</v>
      </c>
      <c r="Y19" s="13">
        <v>80.358115474267592</v>
      </c>
      <c r="Z19" s="13">
        <v>99.902948680462572</v>
      </c>
      <c r="AA19" s="13">
        <v>80.840343969642674</v>
      </c>
      <c r="AB19" s="13">
        <v>68.616968926463883</v>
      </c>
      <c r="AC19" s="13">
        <v>78.993413922968472</v>
      </c>
      <c r="AD19" s="13">
        <v>75.539193844835296</v>
      </c>
      <c r="AE19" s="13">
        <v>59.070568550071968</v>
      </c>
      <c r="AF19" s="13">
        <v>61.403926296734696</v>
      </c>
      <c r="AG19" s="13">
        <v>69.188631717128757</v>
      </c>
      <c r="AH19" s="13">
        <v>90.664293195701305</v>
      </c>
      <c r="AI19" s="13">
        <v>66.60941372575958</v>
      </c>
      <c r="AJ19" s="13">
        <v>41.033775765282535</v>
      </c>
      <c r="AK19" s="13">
        <v>72.825725029414528</v>
      </c>
      <c r="AL19" s="13">
        <v>63.368319339165438</v>
      </c>
      <c r="AM19" s="13">
        <v>81.370475248541723</v>
      </c>
      <c r="AN19" s="13">
        <v>51.925087304039387</v>
      </c>
      <c r="AO19" s="13">
        <v>87.497549458482922</v>
      </c>
      <c r="AP19" s="13">
        <v>77.873806438305976</v>
      </c>
      <c r="AQ19" s="13">
        <v>65.320640956987205</v>
      </c>
      <c r="AR19" s="13">
        <v>61.872045058063392</v>
      </c>
      <c r="AS19" s="13">
        <v>82.744775894079226</v>
      </c>
      <c r="AT19" s="13">
        <v>86.219222517074598</v>
      </c>
      <c r="AU19" s="13">
        <v>85.550101183373869</v>
      </c>
      <c r="AV19" s="13">
        <v>64.104105432335516</v>
      </c>
      <c r="AW19" s="13">
        <v>81.914159434809292</v>
      </c>
      <c r="AX19" s="41">
        <f t="shared" si="9"/>
        <v>90.887145889918898</v>
      </c>
      <c r="AY19" s="41">
        <f t="shared" si="10"/>
        <v>95.373639117473701</v>
      </c>
      <c r="AZ19" s="41">
        <f t="shared" si="11"/>
        <v>97.616885731251102</v>
      </c>
      <c r="BA19" s="30">
        <v>99.860132345028504</v>
      </c>
      <c r="BB19" s="13">
        <v>85.647746469579616</v>
      </c>
      <c r="BC19" s="13">
        <v>97.728750533022151</v>
      </c>
      <c r="BD19" s="13">
        <v>96.168295175227172</v>
      </c>
      <c r="BE19" s="13">
        <v>101.2563868</v>
      </c>
      <c r="BF19" s="13">
        <v>107.1059535</v>
      </c>
      <c r="BG19" s="13">
        <v>105.07636000000001</v>
      </c>
      <c r="BH19" s="13">
        <v>101.22119000000001</v>
      </c>
      <c r="BI19" s="13">
        <v>106.01425250000003</v>
      </c>
      <c r="BJ19" s="13">
        <v>111.63439980000003</v>
      </c>
      <c r="BK19" s="13">
        <v>110.61248220000002</v>
      </c>
      <c r="BL19" s="13">
        <v>101.57</v>
      </c>
      <c r="BM19" s="13">
        <v>124.928</v>
      </c>
      <c r="BN19" s="13">
        <v>100.1385822160516</v>
      </c>
      <c r="BO19" s="13">
        <v>121.91500000000001</v>
      </c>
      <c r="BP19" s="13">
        <v>117.801</v>
      </c>
      <c r="BQ19" s="13">
        <v>106.934</v>
      </c>
      <c r="BR19" s="13">
        <v>110.029</v>
      </c>
      <c r="BS19" s="13">
        <v>145.41399999999999</v>
      </c>
      <c r="BT19" s="13">
        <v>93.197999999999993</v>
      </c>
      <c r="BU19" s="13">
        <v>153.113</v>
      </c>
      <c r="BV19" s="13">
        <v>133.50299999999999</v>
      </c>
      <c r="BW19" s="13">
        <v>85.012</v>
      </c>
      <c r="BX19" s="13">
        <v>95.135999999999996</v>
      </c>
      <c r="BY19" s="13">
        <v>95.037000000000006</v>
      </c>
      <c r="BZ19" s="13">
        <v>89.08</v>
      </c>
      <c r="CA19" s="13">
        <v>81.155000000000001</v>
      </c>
      <c r="CB19" s="13">
        <v>65.825999999999993</v>
      </c>
      <c r="CC19" s="13">
        <v>85.093999999999994</v>
      </c>
      <c r="CD19" s="13">
        <v>95.418999999999997</v>
      </c>
      <c r="CE19" s="13">
        <v>85.13</v>
      </c>
      <c r="CF19" s="13">
        <v>77.902000000000001</v>
      </c>
      <c r="CG19" s="13">
        <v>121.727</v>
      </c>
      <c r="CH19" s="13">
        <v>106.58199999999999</v>
      </c>
      <c r="CI19" s="13">
        <v>115.441</v>
      </c>
      <c r="CJ19" s="13">
        <v>103.2</v>
      </c>
    </row>
    <row r="20" spans="1:88" ht="20.149999999999999" customHeight="1" thickBot="1" x14ac:dyDescent="0.35">
      <c r="A20" s="15" t="s">
        <v>15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6"/>
      <c r="Z20" s="16"/>
      <c r="AA20" s="16"/>
      <c r="AB20" s="16"/>
      <c r="AC20" s="16"/>
      <c r="AD20" s="16"/>
      <c r="AE20" s="16"/>
      <c r="AF20" s="16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34"/>
      <c r="AY20" s="34"/>
      <c r="AZ20" s="34"/>
      <c r="BA20" s="31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</row>
    <row r="21" spans="1:88" ht="20.149999999999999" customHeight="1" x14ac:dyDescent="0.25">
      <c r="A21" s="12" t="s">
        <v>16</v>
      </c>
      <c r="B21" s="13">
        <v>219.80115783766607</v>
      </c>
      <c r="C21" s="13">
        <v>184.20141514177652</v>
      </c>
      <c r="D21" s="13">
        <v>215.56300362891889</v>
      </c>
      <c r="E21" s="13">
        <v>191.54012791715323</v>
      </c>
      <c r="F21" s="13">
        <v>176.12104321077135</v>
      </c>
      <c r="G21" s="13">
        <v>170.30411407757211</v>
      </c>
      <c r="H21" s="13">
        <v>140.51097693021774</v>
      </c>
      <c r="I21" s="13">
        <v>157.15918742742076</v>
      </c>
      <c r="J21" s="13">
        <v>162.03417910682529</v>
      </c>
      <c r="K21" s="13">
        <v>186.19410270059012</v>
      </c>
      <c r="L21" s="13">
        <v>144.6798475886884</v>
      </c>
      <c r="M21" s="13">
        <v>132.58387589835039</v>
      </c>
      <c r="N21" s="13">
        <v>139.04246097373863</v>
      </c>
      <c r="O21" s="13">
        <v>130.83175872114182</v>
      </c>
      <c r="P21" s="13">
        <v>119.47660888715698</v>
      </c>
      <c r="Q21" s="13">
        <v>108.94563743911959</v>
      </c>
      <c r="R21" s="41">
        <f t="shared" ref="R21:R26" si="12">+(Q21+S21)/2</f>
        <v>114.10555637939228</v>
      </c>
      <c r="S21" s="14">
        <v>119.26547531966497</v>
      </c>
      <c r="T21" s="13">
        <v>119.76654819707717</v>
      </c>
      <c r="U21" s="13">
        <v>89.863439005569873</v>
      </c>
      <c r="V21" s="13">
        <v>110.68766293893167</v>
      </c>
      <c r="W21" s="13">
        <v>101.03207392672385</v>
      </c>
      <c r="X21" s="13">
        <v>117.97521817800843</v>
      </c>
      <c r="Y21" s="13">
        <v>98.780838658043066</v>
      </c>
      <c r="Z21" s="13">
        <v>131.28903257087157</v>
      </c>
      <c r="AA21" s="13">
        <v>100.6728951416642</v>
      </c>
      <c r="AB21" s="13">
        <v>86.182847640616004</v>
      </c>
      <c r="AC21" s="13">
        <v>111.37956956911388</v>
      </c>
      <c r="AD21" s="13">
        <v>105.96955376759114</v>
      </c>
      <c r="AE21" s="13">
        <v>85.413760743472523</v>
      </c>
      <c r="AF21" s="13">
        <v>76.200484467626069</v>
      </c>
      <c r="AG21" s="17">
        <v>76.321258387589822</v>
      </c>
      <c r="AH21" s="17">
        <v>91.203228362455647</v>
      </c>
      <c r="AI21" s="17">
        <v>64.393854647143158</v>
      </c>
      <c r="AJ21" s="17">
        <v>71.837629676198986</v>
      </c>
      <c r="AK21" s="17">
        <v>91.868356053526185</v>
      </c>
      <c r="AL21" s="17">
        <v>86.130070031288639</v>
      </c>
      <c r="AM21" s="17">
        <v>72.525388896406398</v>
      </c>
      <c r="AN21" s="17">
        <v>76.624872348889426</v>
      </c>
      <c r="AO21" s="17">
        <v>81.799914610806042</v>
      </c>
      <c r="AP21" s="17">
        <v>62.617546160105782</v>
      </c>
      <c r="AQ21" s="17">
        <v>60.215049425489354</v>
      </c>
      <c r="AR21" s="17">
        <v>75.624193339455942</v>
      </c>
      <c r="AS21" s="17">
        <v>70.261196801374467</v>
      </c>
      <c r="AT21" s="17">
        <v>64.44576055535552</v>
      </c>
      <c r="AU21" s="17">
        <v>64.727678667791892</v>
      </c>
      <c r="AV21" s="17">
        <v>62.215622836993234</v>
      </c>
      <c r="AW21" s="17">
        <v>74.621797675544215</v>
      </c>
      <c r="AX21" s="41">
        <f t="shared" ref="AX21:AX26" si="13">+(AW21+BA21)/2</f>
        <v>79.575917916813154</v>
      </c>
      <c r="AY21" s="41">
        <f t="shared" ref="AY21:AY26" si="14">+(AX21+BA21)/2</f>
        <v>82.052978037447616</v>
      </c>
      <c r="AZ21" s="41">
        <f t="shared" ref="AZ21:AZ26" si="15">+(AY21+BA21)/2</f>
        <v>83.291508097764847</v>
      </c>
      <c r="BA21" s="17">
        <v>84.530038158082078</v>
      </c>
      <c r="BB21" s="17">
        <v>88.971812600108294</v>
      </c>
      <c r="BC21" s="17">
        <v>78.656615992840585</v>
      </c>
      <c r="BD21" s="17">
        <v>76.765076757165573</v>
      </c>
      <c r="BE21" s="17">
        <v>73.60822300000001</v>
      </c>
      <c r="BF21" s="17">
        <v>90.828192000000016</v>
      </c>
      <c r="BG21" s="17">
        <v>69.365790000000004</v>
      </c>
      <c r="BH21" s="17">
        <v>78.907260000000008</v>
      </c>
      <c r="BI21" s="17">
        <v>78.457111200000014</v>
      </c>
      <c r="BJ21" s="17">
        <v>73.561910400000016</v>
      </c>
      <c r="BK21" s="17">
        <v>104.06897820000002</v>
      </c>
      <c r="BL21" s="17">
        <v>80.251999999999995</v>
      </c>
      <c r="BM21" s="17">
        <v>97.402000000000001</v>
      </c>
      <c r="BN21" s="17">
        <v>93.466870865310952</v>
      </c>
      <c r="BO21" s="17">
        <v>74.155000000000001</v>
      </c>
      <c r="BP21" s="17">
        <v>90.334000000000003</v>
      </c>
      <c r="BQ21" s="17">
        <v>63.804000000000002</v>
      </c>
      <c r="BR21" s="17">
        <v>85.048000000000002</v>
      </c>
      <c r="BS21" s="17">
        <v>91.831999999999994</v>
      </c>
      <c r="BT21" s="17">
        <v>52.796999999999997</v>
      </c>
      <c r="BU21" s="17">
        <v>73.941000000000003</v>
      </c>
      <c r="BV21" s="17">
        <v>79.19</v>
      </c>
      <c r="BW21" s="17">
        <v>68.278000000000006</v>
      </c>
      <c r="BX21" s="17">
        <v>60.744</v>
      </c>
      <c r="BY21" s="17">
        <v>77.634</v>
      </c>
      <c r="BZ21" s="17">
        <v>55.707999999999998</v>
      </c>
      <c r="CA21" s="17">
        <v>64.7</v>
      </c>
      <c r="CB21" s="17">
        <v>48.377000000000002</v>
      </c>
      <c r="CC21" s="17">
        <v>48.256999999999998</v>
      </c>
      <c r="CD21" s="17">
        <v>58.601999999999997</v>
      </c>
      <c r="CE21" s="17">
        <v>49.347000000000001</v>
      </c>
      <c r="CF21" s="17">
        <v>67.77</v>
      </c>
      <c r="CG21" s="17">
        <v>73.299000000000007</v>
      </c>
      <c r="CH21" s="17">
        <v>57.511000000000003</v>
      </c>
      <c r="CI21" s="17">
        <v>60.338000000000001</v>
      </c>
      <c r="CJ21" s="17">
        <v>68.010000000000005</v>
      </c>
    </row>
    <row r="22" spans="1:88" ht="20.149999999999999" customHeight="1" x14ac:dyDescent="0.25">
      <c r="A22" s="12" t="s">
        <v>17</v>
      </c>
      <c r="B22" s="13">
        <v>505.63567347648103</v>
      </c>
      <c r="C22" s="13">
        <v>507.14305284252049</v>
      </c>
      <c r="D22" s="13">
        <v>482.22146661148543</v>
      </c>
      <c r="E22" s="13">
        <v>482.0128774339293</v>
      </c>
      <c r="F22" s="13">
        <v>496.56625812600504</v>
      </c>
      <c r="G22" s="13">
        <v>501.21855392946702</v>
      </c>
      <c r="H22" s="13">
        <v>423.24178040207096</v>
      </c>
      <c r="I22" s="13">
        <v>414.22262966254823</v>
      </c>
      <c r="J22" s="13">
        <v>434.84338660495951</v>
      </c>
      <c r="K22" s="13">
        <v>378.6758827903796</v>
      </c>
      <c r="L22" s="13">
        <v>359.60000553222199</v>
      </c>
      <c r="M22" s="13">
        <v>379.47762779156756</v>
      </c>
      <c r="N22" s="13">
        <v>341.09424938259775</v>
      </c>
      <c r="O22" s="13">
        <v>328.87164038599747</v>
      </c>
      <c r="P22" s="13">
        <v>293.90098363968423</v>
      </c>
      <c r="Q22" s="13">
        <v>294.56725904987309</v>
      </c>
      <c r="R22" s="41">
        <f t="shared" si="12"/>
        <v>268.16151328733491</v>
      </c>
      <c r="S22" s="14">
        <v>241.75576752479677</v>
      </c>
      <c r="T22" s="13">
        <v>246.51618669701321</v>
      </c>
      <c r="U22" s="13">
        <v>269.02587878707681</v>
      </c>
      <c r="V22" s="13">
        <v>277.08035048662941</v>
      </c>
      <c r="W22" s="13">
        <v>260.58796797470194</v>
      </c>
      <c r="X22" s="13">
        <v>274.92981727042883</v>
      </c>
      <c r="Y22" s="13">
        <v>313.15980859458546</v>
      </c>
      <c r="Z22" s="13">
        <v>301.07527344060685</v>
      </c>
      <c r="AA22" s="13">
        <v>280.29591268260168</v>
      </c>
      <c r="AB22" s="13">
        <v>295.16862270982409</v>
      </c>
      <c r="AC22" s="13">
        <v>286.89506579189526</v>
      </c>
      <c r="AD22" s="13">
        <v>238.60690843946412</v>
      </c>
      <c r="AE22" s="13">
        <v>194.80551961153213</v>
      </c>
      <c r="AF22" s="13">
        <v>259.25636216646427</v>
      </c>
      <c r="AG22" s="17">
        <v>226.51036483900731</v>
      </c>
      <c r="AH22" s="17">
        <v>253.23382961135385</v>
      </c>
      <c r="AI22" s="17">
        <v>241.21270922843397</v>
      </c>
      <c r="AJ22" s="17">
        <v>238.96575317738879</v>
      </c>
      <c r="AK22" s="17">
        <v>255.5373019782034</v>
      </c>
      <c r="AL22" s="17">
        <v>271.70549001208781</v>
      </c>
      <c r="AM22" s="17">
        <v>256.46019878555546</v>
      </c>
      <c r="AN22" s="17">
        <v>213.10790300679514</v>
      </c>
      <c r="AO22" s="17">
        <v>254.68665127567914</v>
      </c>
      <c r="AP22" s="17">
        <v>213.21815795382071</v>
      </c>
      <c r="AQ22" s="17">
        <v>194.77353488594974</v>
      </c>
      <c r="AR22" s="17">
        <v>208.41083341225138</v>
      </c>
      <c r="AS22" s="17">
        <v>241.8242742328386</v>
      </c>
      <c r="AT22" s="17">
        <v>235.20909270127049</v>
      </c>
      <c r="AU22" s="17">
        <v>203.95978981979204</v>
      </c>
      <c r="AV22" s="17">
        <v>216.62690580389884</v>
      </c>
      <c r="AW22" s="17">
        <v>228.39320572406459</v>
      </c>
      <c r="AX22" s="41">
        <f t="shared" si="13"/>
        <v>256.4335678443631</v>
      </c>
      <c r="AY22" s="41">
        <f t="shared" si="14"/>
        <v>270.45374890451234</v>
      </c>
      <c r="AZ22" s="41">
        <f t="shared" si="15"/>
        <v>277.46383943458693</v>
      </c>
      <c r="BA22" s="17">
        <v>284.47392996466158</v>
      </c>
      <c r="BB22" s="17">
        <v>234.75383504440109</v>
      </c>
      <c r="BC22" s="17">
        <v>248.7190123071436</v>
      </c>
      <c r="BD22" s="17">
        <v>239.76870319848607</v>
      </c>
      <c r="BE22" s="17">
        <v>255.92709859999999</v>
      </c>
      <c r="BF22" s="17">
        <v>244.65026040000001</v>
      </c>
      <c r="BG22" s="17">
        <v>236.08144000000001</v>
      </c>
      <c r="BH22" s="17">
        <v>202.65346999999997</v>
      </c>
      <c r="BI22" s="17">
        <v>247.96983610000007</v>
      </c>
      <c r="BJ22" s="17">
        <v>280.01350080000003</v>
      </c>
      <c r="BK22" s="17">
        <v>258.55929000000009</v>
      </c>
      <c r="BL22" s="17">
        <v>281.42399999999998</v>
      </c>
      <c r="BM22" s="17">
        <v>285.35399999999998</v>
      </c>
      <c r="BN22" s="17">
        <v>267.07545465556399</v>
      </c>
      <c r="BO22" s="17">
        <v>270.38499999999999</v>
      </c>
      <c r="BP22" s="17">
        <v>285.50299999999999</v>
      </c>
      <c r="BQ22" s="17">
        <v>158.78100000000001</v>
      </c>
      <c r="BR22" s="17">
        <v>257.464</v>
      </c>
      <c r="BS22" s="17">
        <v>373.221</v>
      </c>
      <c r="BT22" s="17">
        <v>246.25200000000001</v>
      </c>
      <c r="BU22" s="17">
        <v>264.55099999999999</v>
      </c>
      <c r="BV22" s="17">
        <v>209.203</v>
      </c>
      <c r="BW22" s="17">
        <v>203.988</v>
      </c>
      <c r="BX22" s="17">
        <v>202.85400000000001</v>
      </c>
      <c r="BY22" s="17">
        <v>212.54300000000001</v>
      </c>
      <c r="BZ22" s="17">
        <v>180.95500000000001</v>
      </c>
      <c r="CA22" s="17">
        <v>179.333</v>
      </c>
      <c r="CB22" s="17">
        <v>185.548</v>
      </c>
      <c r="CC22" s="17">
        <v>204.88300000000001</v>
      </c>
      <c r="CD22" s="17">
        <v>197.154</v>
      </c>
      <c r="CE22" s="17">
        <v>220.19800000000001</v>
      </c>
      <c r="CF22" s="17">
        <v>205.869</v>
      </c>
      <c r="CG22" s="17">
        <v>235.99700000000001</v>
      </c>
      <c r="CH22" s="17">
        <v>245.274</v>
      </c>
      <c r="CI22" s="17">
        <v>231.69800000000001</v>
      </c>
      <c r="CJ22" s="17">
        <v>188.21899999999999</v>
      </c>
    </row>
    <row r="23" spans="1:88" ht="20.149999999999999" customHeight="1" x14ac:dyDescent="0.25">
      <c r="A23" s="12" t="s">
        <v>18</v>
      </c>
      <c r="B23" s="13">
        <v>378.54542310027847</v>
      </c>
      <c r="C23" s="13">
        <v>386.56088525325526</v>
      </c>
      <c r="D23" s="13">
        <v>382.65226148422028</v>
      </c>
      <c r="E23" s="13">
        <v>341.54808087080397</v>
      </c>
      <c r="F23" s="13">
        <v>358.45219782517006</v>
      </c>
      <c r="G23" s="13">
        <v>296.46521238028862</v>
      </c>
      <c r="H23" s="13">
        <v>293.10041361386556</v>
      </c>
      <c r="I23" s="13">
        <v>275.3033461080733</v>
      </c>
      <c r="J23" s="13">
        <v>319.63547683324487</v>
      </c>
      <c r="K23" s="13">
        <v>230.35325976525723</v>
      </c>
      <c r="L23" s="13">
        <v>258.68855024279321</v>
      </c>
      <c r="M23" s="13">
        <v>300.17207626966257</v>
      </c>
      <c r="N23" s="13">
        <v>255.077140414453</v>
      </c>
      <c r="O23" s="13">
        <v>264.47021944184434</v>
      </c>
      <c r="P23" s="13">
        <v>233.6309592630931</v>
      </c>
      <c r="Q23" s="13">
        <v>225.77621791868989</v>
      </c>
      <c r="R23" s="41">
        <f t="shared" si="12"/>
        <v>222.1032938440423</v>
      </c>
      <c r="S23" s="14">
        <v>218.43036976939467</v>
      </c>
      <c r="T23" s="13">
        <v>181.75226354500785</v>
      </c>
      <c r="U23" s="13">
        <v>198.10259095103828</v>
      </c>
      <c r="V23" s="13">
        <v>201.66261339205744</v>
      </c>
      <c r="W23" s="13">
        <v>213.79477628413429</v>
      </c>
      <c r="X23" s="13">
        <v>220.61311859152104</v>
      </c>
      <c r="Y23" s="13">
        <v>268.76598629163072</v>
      </c>
      <c r="Z23" s="13">
        <v>226.13457075064764</v>
      </c>
      <c r="AA23" s="13">
        <v>267.40877942089708</v>
      </c>
      <c r="AB23" s="13">
        <v>213.8121043672387</v>
      </c>
      <c r="AC23" s="13">
        <v>240.06103802907808</v>
      </c>
      <c r="AD23" s="13">
        <v>215.26045442119678</v>
      </c>
      <c r="AE23" s="13">
        <v>200.18291200393818</v>
      </c>
      <c r="AF23" s="13">
        <v>188.82310859876807</v>
      </c>
      <c r="AG23" s="17">
        <v>218.50217928158727</v>
      </c>
      <c r="AH23" s="17">
        <v>208.4960515116951</v>
      </c>
      <c r="AI23" s="17">
        <v>231.06156962413851</v>
      </c>
      <c r="AJ23" s="17">
        <v>180.26678431344357</v>
      </c>
      <c r="AK23" s="17">
        <v>224.21772633055542</v>
      </c>
      <c r="AL23" s="17">
        <v>207.91689366361896</v>
      </c>
      <c r="AM23" s="17">
        <v>241.18465958376288</v>
      </c>
      <c r="AN23" s="17">
        <v>211.50150507241938</v>
      </c>
      <c r="AO23" s="17">
        <v>261.19027286779283</v>
      </c>
      <c r="AP23" s="17">
        <v>242.77600114874528</v>
      </c>
      <c r="AQ23" s="17">
        <v>230.06194283472215</v>
      </c>
      <c r="AR23" s="17">
        <v>217.95524236707345</v>
      </c>
      <c r="AS23" s="17">
        <v>257.92452567019649</v>
      </c>
      <c r="AT23" s="17">
        <v>241.41763012255484</v>
      </c>
      <c r="AU23" s="17">
        <v>235.29107094996689</v>
      </c>
      <c r="AV23" s="17">
        <v>177.51636105054629</v>
      </c>
      <c r="AW23" s="17">
        <v>244.46684067140524</v>
      </c>
      <c r="AX23" s="41">
        <f t="shared" si="13"/>
        <v>279.97705385716608</v>
      </c>
      <c r="AY23" s="41">
        <f t="shared" si="14"/>
        <v>297.73216045004654</v>
      </c>
      <c r="AZ23" s="41">
        <f t="shared" si="15"/>
        <v>306.6097137464867</v>
      </c>
      <c r="BA23" s="17">
        <v>315.48726704292693</v>
      </c>
      <c r="BB23" s="17">
        <v>297.6302129881887</v>
      </c>
      <c r="BC23" s="17">
        <v>288.4693239172355</v>
      </c>
      <c r="BD23" s="17">
        <v>275.07266638304623</v>
      </c>
      <c r="BE23" s="17">
        <v>300.77593780000001</v>
      </c>
      <c r="BF23" s="17">
        <v>313.62897929999997</v>
      </c>
      <c r="BG23" s="17">
        <v>338.79137000000003</v>
      </c>
      <c r="BH23" s="17">
        <v>289.73465999999996</v>
      </c>
      <c r="BI23" s="17">
        <v>329.24153860000007</v>
      </c>
      <c r="BJ23" s="17">
        <v>325.97151840000004</v>
      </c>
      <c r="BK23" s="17">
        <v>375.98590260000003</v>
      </c>
      <c r="BL23" s="17">
        <v>368.60599999999999</v>
      </c>
      <c r="BM23" s="17">
        <v>390.399</v>
      </c>
      <c r="BN23" s="17">
        <v>351.96194663389963</v>
      </c>
      <c r="BO23" s="17">
        <v>398.56299999999999</v>
      </c>
      <c r="BP23" s="17">
        <v>361.98</v>
      </c>
      <c r="BQ23" s="17">
        <v>209.751</v>
      </c>
      <c r="BR23" s="17">
        <v>417.74799999999999</v>
      </c>
      <c r="BS23" s="17">
        <v>464.33800000000002</v>
      </c>
      <c r="BT23" s="17">
        <v>362.54700000000003</v>
      </c>
      <c r="BU23" s="17">
        <v>336.21800000000002</v>
      </c>
      <c r="BV23" s="17">
        <v>383.97800000000001</v>
      </c>
      <c r="BW23" s="17">
        <v>363.74</v>
      </c>
      <c r="BX23" s="17">
        <v>299.70499999999998</v>
      </c>
      <c r="BY23" s="17">
        <v>353.72899999999998</v>
      </c>
      <c r="BZ23" s="17">
        <v>370.00599999999997</v>
      </c>
      <c r="CA23" s="17">
        <v>322.79700000000003</v>
      </c>
      <c r="CB23" s="17">
        <v>318.23200000000003</v>
      </c>
      <c r="CC23" s="17">
        <v>373.92099999999999</v>
      </c>
      <c r="CD23" s="17">
        <v>316.221</v>
      </c>
      <c r="CE23" s="17">
        <v>323.24099999999999</v>
      </c>
      <c r="CF23" s="17">
        <v>303.08199999999999</v>
      </c>
      <c r="CG23" s="17">
        <v>387.07499999999999</v>
      </c>
      <c r="CH23" s="17">
        <v>381.45699999999999</v>
      </c>
      <c r="CI23" s="17">
        <v>338.274</v>
      </c>
      <c r="CJ23" s="17">
        <v>351.03300000000002</v>
      </c>
    </row>
    <row r="24" spans="1:88" ht="20.149999999999999" customHeight="1" x14ac:dyDescent="0.25">
      <c r="A24" s="12" t="s">
        <v>19</v>
      </c>
      <c r="B24" s="13">
        <v>247.24634832861287</v>
      </c>
      <c r="C24" s="13">
        <v>277.84324037337404</v>
      </c>
      <c r="D24" s="13">
        <v>238.29943089954907</v>
      </c>
      <c r="E24" s="13">
        <v>266.31860736597542</v>
      </c>
      <c r="F24" s="13">
        <v>272.30793042814389</v>
      </c>
      <c r="G24" s="13">
        <v>254.3315732944632</v>
      </c>
      <c r="H24" s="13">
        <v>233.32133839148253</v>
      </c>
      <c r="I24" s="13">
        <v>226.723527090472</v>
      </c>
      <c r="J24" s="13">
        <v>235.20124681508432</v>
      </c>
      <c r="K24" s="13">
        <v>215.72263324091008</v>
      </c>
      <c r="L24" s="13">
        <v>215.66848433274555</v>
      </c>
      <c r="M24" s="13">
        <v>215.04340418169912</v>
      </c>
      <c r="N24" s="13">
        <v>196.5558553431618</v>
      </c>
      <c r="O24" s="13">
        <v>214.08915998162263</v>
      </c>
      <c r="P24" s="13">
        <v>177.29697777788013</v>
      </c>
      <c r="Q24" s="13">
        <v>238.14066705157791</v>
      </c>
      <c r="R24" s="41">
        <f t="shared" si="12"/>
        <v>214.30082964576624</v>
      </c>
      <c r="S24" s="14">
        <v>190.46099223995458</v>
      </c>
      <c r="T24" s="13">
        <v>188.98413342096552</v>
      </c>
      <c r="U24" s="13">
        <v>188.11528285188786</v>
      </c>
      <c r="V24" s="13">
        <v>217.50735884181228</v>
      </c>
      <c r="W24" s="13">
        <v>201.11510742832618</v>
      </c>
      <c r="X24" s="13">
        <v>195.11266511393606</v>
      </c>
      <c r="Y24" s="13">
        <v>243.6709469976131</v>
      </c>
      <c r="Z24" s="13">
        <v>268.22603293866445</v>
      </c>
      <c r="AA24" s="13">
        <v>227.21482263209839</v>
      </c>
      <c r="AB24" s="13">
        <v>216.73668842791088</v>
      </c>
      <c r="AC24" s="13">
        <v>225.46607219176138</v>
      </c>
      <c r="AD24" s="13">
        <v>212.4681535643814</v>
      </c>
      <c r="AE24" s="13">
        <v>205.44787079756745</v>
      </c>
      <c r="AF24" s="13">
        <v>203.77924250935246</v>
      </c>
      <c r="AG24" s="17">
        <v>202.54322186425262</v>
      </c>
      <c r="AH24" s="17">
        <v>215.82146360685508</v>
      </c>
      <c r="AI24" s="17">
        <v>176.03586635665704</v>
      </c>
      <c r="AJ24" s="17">
        <v>183.88780457798006</v>
      </c>
      <c r="AK24" s="17">
        <v>259.45996058279229</v>
      </c>
      <c r="AL24" s="17">
        <v>248.24293511374236</v>
      </c>
      <c r="AM24" s="17">
        <v>215.82278077707051</v>
      </c>
      <c r="AN24" s="17">
        <v>207.30982656245109</v>
      </c>
      <c r="AO24" s="17">
        <v>272.6371422266829</v>
      </c>
      <c r="AP24" s="17">
        <v>252.3795393633747</v>
      </c>
      <c r="AQ24" s="17">
        <v>202.5855579586561</v>
      </c>
      <c r="AR24" s="17">
        <v>203.20240541934271</v>
      </c>
      <c r="AS24" s="17">
        <v>225.82518145147901</v>
      </c>
      <c r="AT24" s="17">
        <v>253.85474220062878</v>
      </c>
      <c r="AU24" s="17">
        <v>279.34154624819001</v>
      </c>
      <c r="AV24" s="17">
        <v>196.73214784117721</v>
      </c>
      <c r="AW24" s="17">
        <v>254.88221167509539</v>
      </c>
      <c r="AX24" s="41">
        <f t="shared" si="13"/>
        <v>291.90114201022288</v>
      </c>
      <c r="AY24" s="41">
        <f t="shared" si="14"/>
        <v>310.41060717778657</v>
      </c>
      <c r="AZ24" s="41">
        <f t="shared" si="15"/>
        <v>319.66533976156848</v>
      </c>
      <c r="BA24" s="17">
        <v>328.92007234535032</v>
      </c>
      <c r="BB24" s="17">
        <v>302.67390238745901</v>
      </c>
      <c r="BC24" s="17">
        <v>295.40860156458911</v>
      </c>
      <c r="BD24" s="17">
        <v>309.45599091280485</v>
      </c>
      <c r="BE24" s="17">
        <v>325.18742079999998</v>
      </c>
      <c r="BF24" s="17">
        <v>357.20772360000001</v>
      </c>
      <c r="BG24" s="17">
        <v>291.94049999999999</v>
      </c>
      <c r="BH24" s="17">
        <v>345.78157999999996</v>
      </c>
      <c r="BI24" s="17">
        <v>383.2691688000001</v>
      </c>
      <c r="BJ24" s="17">
        <v>415.04496660000007</v>
      </c>
      <c r="BK24" s="17">
        <v>391.34395080000002</v>
      </c>
      <c r="BL24" s="17">
        <v>419.29199999999997</v>
      </c>
      <c r="BM24" s="17">
        <v>438.435</v>
      </c>
      <c r="BN24" s="17">
        <v>434.03566540094204</v>
      </c>
      <c r="BO24" s="17">
        <v>451.50299999999999</v>
      </c>
      <c r="BP24" s="17">
        <v>381.077</v>
      </c>
      <c r="BQ24" s="17">
        <v>304.16399999999999</v>
      </c>
      <c r="BR24" s="17">
        <v>380.21</v>
      </c>
      <c r="BS24" s="17">
        <v>494.78</v>
      </c>
      <c r="BT24" s="17">
        <v>416.35</v>
      </c>
      <c r="BU24" s="17">
        <v>412.10700000000003</v>
      </c>
      <c r="BV24" s="17">
        <v>367.12200000000001</v>
      </c>
      <c r="BW24" s="17">
        <v>466.84899999999999</v>
      </c>
      <c r="BX24" s="17">
        <v>364.70100000000002</v>
      </c>
      <c r="BY24" s="17">
        <v>421.72300000000001</v>
      </c>
      <c r="BZ24" s="17">
        <v>457.93099999999998</v>
      </c>
      <c r="CA24" s="17">
        <v>445.98099999999999</v>
      </c>
      <c r="CB24" s="17">
        <v>401.75299999999999</v>
      </c>
      <c r="CC24" s="17">
        <v>420.75900000000001</v>
      </c>
      <c r="CD24" s="17">
        <v>429.86099999999999</v>
      </c>
      <c r="CE24" s="17">
        <v>453.36500000000001</v>
      </c>
      <c r="CF24" s="17">
        <v>435.541</v>
      </c>
      <c r="CG24" s="17">
        <v>461.11099999999999</v>
      </c>
      <c r="CH24" s="17">
        <v>479.11599999999999</v>
      </c>
      <c r="CI24" s="17">
        <v>480.62599999999998</v>
      </c>
      <c r="CJ24" s="17">
        <v>427.99700000000001</v>
      </c>
    </row>
    <row r="25" spans="1:88" ht="20.149999999999999" customHeight="1" x14ac:dyDescent="0.25">
      <c r="A25" s="12" t="s">
        <v>20</v>
      </c>
      <c r="B25" s="13">
        <v>194.87923118814888</v>
      </c>
      <c r="C25" s="13">
        <v>189.03665274787923</v>
      </c>
      <c r="D25" s="13">
        <v>177.91259422078465</v>
      </c>
      <c r="E25" s="13">
        <v>188.16530783665488</v>
      </c>
      <c r="F25" s="13">
        <v>142.21980954109239</v>
      </c>
      <c r="G25" s="13">
        <v>179.62031509034856</v>
      </c>
      <c r="H25" s="13">
        <v>137.44792532410588</v>
      </c>
      <c r="I25" s="13">
        <v>159.50748439801507</v>
      </c>
      <c r="J25" s="13">
        <v>151.26262478896999</v>
      </c>
      <c r="K25" s="13">
        <v>152.87146064121742</v>
      </c>
      <c r="L25" s="13">
        <v>122.72552783076713</v>
      </c>
      <c r="M25" s="13">
        <v>170.71450167856059</v>
      </c>
      <c r="N25" s="13">
        <v>162.73092219920684</v>
      </c>
      <c r="O25" s="13">
        <v>127.78433777531254</v>
      </c>
      <c r="P25" s="13">
        <v>103.6383365532901</v>
      </c>
      <c r="Q25" s="13">
        <v>114.40810407749062</v>
      </c>
      <c r="R25" s="41">
        <f t="shared" si="12"/>
        <v>112.89681210085746</v>
      </c>
      <c r="S25" s="14">
        <v>111.3855201242243</v>
      </c>
      <c r="T25" s="13">
        <v>93.135964180387077</v>
      </c>
      <c r="U25" s="13">
        <v>115.2814325191426</v>
      </c>
      <c r="V25" s="13">
        <v>127.19180177098151</v>
      </c>
      <c r="W25" s="13">
        <v>130.54091778895179</v>
      </c>
      <c r="X25" s="13">
        <v>101.9305722219848</v>
      </c>
      <c r="Y25" s="13">
        <v>132.0273090229245</v>
      </c>
      <c r="Z25" s="13">
        <v>150.78455076226365</v>
      </c>
      <c r="AA25" s="13">
        <v>170.2106312091303</v>
      </c>
      <c r="AB25" s="13">
        <v>116.73632949750156</v>
      </c>
      <c r="AC25" s="13">
        <v>129.44758158832281</v>
      </c>
      <c r="AD25" s="13">
        <v>128.6613388578341</v>
      </c>
      <c r="AE25" s="13">
        <v>152.22282726026299</v>
      </c>
      <c r="AF25" s="13">
        <v>125.9840235662048</v>
      </c>
      <c r="AG25" s="17">
        <v>133.13826353687992</v>
      </c>
      <c r="AH25" s="17">
        <v>142.78189017878279</v>
      </c>
      <c r="AI25" s="17">
        <v>129.37161532287951</v>
      </c>
      <c r="AJ25" s="17">
        <v>81.581391273646034</v>
      </c>
      <c r="AK25" s="17">
        <v>128.57785998564469</v>
      </c>
      <c r="AL25" s="17">
        <v>144.6770208431893</v>
      </c>
      <c r="AM25" s="17">
        <v>137.74825969183468</v>
      </c>
      <c r="AN25" s="17">
        <v>112.00272140524424</v>
      </c>
      <c r="AO25" s="17">
        <v>148.18288175024006</v>
      </c>
      <c r="AP25" s="17">
        <v>145.13056853336707</v>
      </c>
      <c r="AQ25" s="17">
        <v>127.75577821064084</v>
      </c>
      <c r="AR25" s="17">
        <v>142.87127953870831</v>
      </c>
      <c r="AS25" s="17">
        <v>160.78216878625599</v>
      </c>
      <c r="AT25" s="17">
        <v>154.81569640733105</v>
      </c>
      <c r="AU25" s="17">
        <v>161.05704653074869</v>
      </c>
      <c r="AV25" s="17">
        <v>137.74991209254486</v>
      </c>
      <c r="AW25" s="17">
        <v>129.86171335546933</v>
      </c>
      <c r="AX25" s="41">
        <f t="shared" si="13"/>
        <v>160.16666358155226</v>
      </c>
      <c r="AY25" s="41">
        <f t="shared" si="14"/>
        <v>175.31913869459373</v>
      </c>
      <c r="AZ25" s="41">
        <f t="shared" si="15"/>
        <v>182.89537625111444</v>
      </c>
      <c r="BA25" s="17">
        <v>190.47161380763518</v>
      </c>
      <c r="BB25" s="17">
        <v>170.95702419942452</v>
      </c>
      <c r="BC25" s="17">
        <v>183.03116444188589</v>
      </c>
      <c r="BD25" s="17">
        <v>177.69843573911211</v>
      </c>
      <c r="BE25" s="17">
        <v>211.20251400000001</v>
      </c>
      <c r="BF25" s="17">
        <v>178.1301249</v>
      </c>
      <c r="BG25" s="17">
        <v>193.43722000000002</v>
      </c>
      <c r="BH25" s="17">
        <v>170.86675</v>
      </c>
      <c r="BI25" s="17">
        <v>215.98630310000004</v>
      </c>
      <c r="BJ25" s="17">
        <v>230.63529060000002</v>
      </c>
      <c r="BK25" s="17">
        <v>193.15959300000003</v>
      </c>
      <c r="BL25" s="17">
        <v>216.62299999999999</v>
      </c>
      <c r="BM25" s="17">
        <v>281.06099999999998</v>
      </c>
      <c r="BN25" s="17">
        <v>266.73451244813447</v>
      </c>
      <c r="BO25" s="17">
        <v>259.90100000000001</v>
      </c>
      <c r="BP25" s="17">
        <v>249.38499999999999</v>
      </c>
      <c r="BQ25" s="17">
        <v>147.51499999999999</v>
      </c>
      <c r="BR25" s="17">
        <v>223.43199999999999</v>
      </c>
      <c r="BS25" s="17">
        <v>283.339</v>
      </c>
      <c r="BT25" s="17">
        <v>255.53800000000001</v>
      </c>
      <c r="BU25" s="17">
        <v>277.13099999999997</v>
      </c>
      <c r="BV25" s="17">
        <v>303.666</v>
      </c>
      <c r="BW25" s="17">
        <v>250.48099999999999</v>
      </c>
      <c r="BX25" s="17">
        <v>212.887</v>
      </c>
      <c r="BY25" s="17">
        <v>254.46600000000001</v>
      </c>
      <c r="BZ25" s="17">
        <v>270.15100000000001</v>
      </c>
      <c r="CA25" s="17">
        <v>231.30500000000001</v>
      </c>
      <c r="CB25" s="17">
        <v>187.65600000000001</v>
      </c>
      <c r="CC25" s="17">
        <v>228.559</v>
      </c>
      <c r="CD25" s="17">
        <v>241.495</v>
      </c>
      <c r="CE25" s="17">
        <v>246.36699999999999</v>
      </c>
      <c r="CF25" s="17">
        <v>217.98599999999999</v>
      </c>
      <c r="CG25" s="17">
        <v>259.71800000000002</v>
      </c>
      <c r="CH25" s="17">
        <v>260.86099999999999</v>
      </c>
      <c r="CI25" s="17">
        <v>286.89499999999998</v>
      </c>
      <c r="CJ25" s="17">
        <v>192.58799999999999</v>
      </c>
    </row>
    <row r="26" spans="1:88" ht="20.149999999999999" customHeight="1" x14ac:dyDescent="0.25">
      <c r="A26" s="12" t="s">
        <v>21</v>
      </c>
      <c r="B26" s="13">
        <v>233.27751908654119</v>
      </c>
      <c r="C26" s="13">
        <v>203.61350189078325</v>
      </c>
      <c r="D26" s="13">
        <v>170.94812747522951</v>
      </c>
      <c r="E26" s="13">
        <v>187.98409577803389</v>
      </c>
      <c r="F26" s="13">
        <v>207.87407383867674</v>
      </c>
      <c r="G26" s="13">
        <v>150.03175860393824</v>
      </c>
      <c r="H26" s="13">
        <v>134.99707522351989</v>
      </c>
      <c r="I26" s="13">
        <v>162.99162574934053</v>
      </c>
      <c r="J26" s="13">
        <v>143.31552508970418</v>
      </c>
      <c r="K26" s="13">
        <v>152.30003979705239</v>
      </c>
      <c r="L26" s="13">
        <v>123.74923014159066</v>
      </c>
      <c r="M26" s="13">
        <v>167.16794347427222</v>
      </c>
      <c r="N26" s="13">
        <v>132.04479096046828</v>
      </c>
      <c r="O26" s="13">
        <v>144.5011560271102</v>
      </c>
      <c r="P26" s="13">
        <v>123.53913130589302</v>
      </c>
      <c r="Q26" s="13">
        <v>150.9426520720811</v>
      </c>
      <c r="R26" s="41">
        <f t="shared" si="12"/>
        <v>145.78126096796507</v>
      </c>
      <c r="S26" s="14">
        <v>140.61986986384906</v>
      </c>
      <c r="T26" s="13">
        <v>104.12999045769601</v>
      </c>
      <c r="U26" s="13">
        <v>122.27092390587269</v>
      </c>
      <c r="V26" s="13">
        <v>126.83416468227914</v>
      </c>
      <c r="W26" s="13">
        <v>142.939540338608</v>
      </c>
      <c r="X26" s="13">
        <v>139.96142094286594</v>
      </c>
      <c r="Y26" s="13">
        <v>163.76716022337112</v>
      </c>
      <c r="Z26" s="13">
        <v>147.05691238034029</v>
      </c>
      <c r="AA26" s="13">
        <v>155.28858017059136</v>
      </c>
      <c r="AB26" s="13">
        <v>147.37045433546675</v>
      </c>
      <c r="AC26" s="13">
        <v>161.88174699051203</v>
      </c>
      <c r="AD26" s="13">
        <v>128.05875747322509</v>
      </c>
      <c r="AE26" s="13">
        <v>138.12876459178045</v>
      </c>
      <c r="AF26" s="13">
        <v>108.00311105131169</v>
      </c>
      <c r="AG26" s="17">
        <v>149.20897261543061</v>
      </c>
      <c r="AH26" s="17">
        <v>147.89920790501208</v>
      </c>
      <c r="AI26" s="17">
        <v>176.97688890185913</v>
      </c>
      <c r="AJ26" s="17">
        <v>119.96338381937019</v>
      </c>
      <c r="AK26" s="17">
        <v>166.96747509991212</v>
      </c>
      <c r="AL26" s="17">
        <v>129.52752463742104</v>
      </c>
      <c r="AM26" s="17">
        <v>167.74607028267147</v>
      </c>
      <c r="AN26" s="17">
        <v>135.80605603129578</v>
      </c>
      <c r="AO26" s="17">
        <v>169.0786814958951</v>
      </c>
      <c r="AP26" s="17">
        <v>149.00501049550775</v>
      </c>
      <c r="AQ26" s="17">
        <v>124.51213018305708</v>
      </c>
      <c r="AR26" s="17">
        <v>117.5248756903175</v>
      </c>
      <c r="AS26" s="17">
        <v>159.46109683316891</v>
      </c>
      <c r="AT26" s="17">
        <v>152.78392072710437</v>
      </c>
      <c r="AU26" s="17">
        <v>152.88070785453249</v>
      </c>
      <c r="AV26" s="17">
        <v>116.72988728331553</v>
      </c>
      <c r="AW26" s="17">
        <v>146.2527557829263</v>
      </c>
      <c r="AX26" s="41">
        <f t="shared" si="13"/>
        <v>179.83294041925598</v>
      </c>
      <c r="AY26" s="41">
        <f t="shared" si="14"/>
        <v>196.62303273742083</v>
      </c>
      <c r="AZ26" s="41">
        <f t="shared" si="15"/>
        <v>205.01807889650325</v>
      </c>
      <c r="BA26" s="17">
        <v>213.41312505558565</v>
      </c>
      <c r="BB26" s="17">
        <v>192.15527085128542</v>
      </c>
      <c r="BC26" s="17">
        <v>199.10778172435036</v>
      </c>
      <c r="BD26" s="17">
        <v>175.76812963651753</v>
      </c>
      <c r="BE26" s="17">
        <v>217.9496398</v>
      </c>
      <c r="BF26" s="17">
        <v>209.8472649</v>
      </c>
      <c r="BG26" s="17">
        <v>188.74678000000003</v>
      </c>
      <c r="BH26" s="17">
        <v>190.24865000000003</v>
      </c>
      <c r="BI26" s="17">
        <v>206.02262970000004</v>
      </c>
      <c r="BJ26" s="17">
        <v>226.42846380000006</v>
      </c>
      <c r="BK26" s="17">
        <v>248.77533780000002</v>
      </c>
      <c r="BL26" s="17">
        <v>196.22200000000001</v>
      </c>
      <c r="BM26" s="17">
        <v>282.33699999999999</v>
      </c>
      <c r="BN26" s="17">
        <v>299.2346254295598</v>
      </c>
      <c r="BO26" s="17">
        <v>299.66500000000002</v>
      </c>
      <c r="BP26" s="17">
        <v>200.971</v>
      </c>
      <c r="BQ26" s="17">
        <v>170.11500000000001</v>
      </c>
      <c r="BR26" s="17">
        <v>256.399</v>
      </c>
      <c r="BS26" s="17">
        <v>246.994</v>
      </c>
      <c r="BT26" s="17">
        <v>258.66300000000001</v>
      </c>
      <c r="BU26" s="17">
        <v>280.87099999999998</v>
      </c>
      <c r="BV26" s="17">
        <v>304.42899999999997</v>
      </c>
      <c r="BW26" s="17">
        <v>293.709</v>
      </c>
      <c r="BX26" s="17">
        <v>213.68199999999999</v>
      </c>
      <c r="BY26" s="17">
        <v>232.126</v>
      </c>
      <c r="BZ26" s="17">
        <v>200.02099999999999</v>
      </c>
      <c r="CA26" s="17">
        <v>273.10199999999998</v>
      </c>
      <c r="CB26" s="17">
        <v>190.892</v>
      </c>
      <c r="CC26" s="17">
        <v>207.65100000000001</v>
      </c>
      <c r="CD26" s="17">
        <v>223.398</v>
      </c>
      <c r="CE26" s="17">
        <v>209.04499999999999</v>
      </c>
      <c r="CF26" s="17">
        <v>213.56899999999999</v>
      </c>
      <c r="CG26" s="17">
        <v>281.90699999999998</v>
      </c>
      <c r="CH26" s="17">
        <v>207.685</v>
      </c>
      <c r="CI26" s="17">
        <v>243.54</v>
      </c>
      <c r="CJ26" s="17">
        <v>208.77</v>
      </c>
    </row>
    <row r="27" spans="1:88" ht="20.149999999999999" customHeight="1" thickBot="1" x14ac:dyDescent="0.35">
      <c r="A27" s="15" t="s">
        <v>27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6"/>
      <c r="Z27" s="16"/>
      <c r="AA27" s="16"/>
      <c r="AB27" s="16"/>
      <c r="AC27" s="16"/>
      <c r="AD27" s="16"/>
      <c r="AE27" s="16"/>
      <c r="AF27" s="16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34"/>
      <c r="AY27" s="34"/>
      <c r="AZ27" s="34"/>
      <c r="BA27" s="31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</row>
    <row r="28" spans="1:88" ht="20.149999999999999" customHeight="1" x14ac:dyDescent="0.25">
      <c r="A28" s="25" t="s">
        <v>28</v>
      </c>
      <c r="B28" s="13">
        <v>44.926281152537712</v>
      </c>
      <c r="C28" s="13">
        <v>52.629701635656509</v>
      </c>
      <c r="D28" s="13">
        <v>50.517035535486727</v>
      </c>
      <c r="E28" s="13">
        <v>39.718018286745952</v>
      </c>
      <c r="F28" s="13">
        <v>48.082228500257479</v>
      </c>
      <c r="G28" s="13">
        <v>29.745714439742287</v>
      </c>
      <c r="H28" s="13">
        <v>25.321022202676328</v>
      </c>
      <c r="I28" s="13">
        <v>33.936415202707828</v>
      </c>
      <c r="J28" s="13">
        <v>30.887107562042942</v>
      </c>
      <c r="K28" s="13">
        <v>25.927964791065062</v>
      </c>
      <c r="L28" s="13">
        <v>17.053856796009057</v>
      </c>
      <c r="M28" s="13">
        <v>27.146545515136772</v>
      </c>
      <c r="N28" s="13">
        <v>13.834764253397388</v>
      </c>
      <c r="O28" s="13">
        <v>10.48846837313296</v>
      </c>
      <c r="P28" s="13">
        <v>8.8667207858989041</v>
      </c>
      <c r="Q28" s="13">
        <v>7.4263630947164234</v>
      </c>
      <c r="R28" s="41">
        <f t="shared" ref="R28:R40" si="16">+(Q28+S28)/2</f>
        <v>6.1259613404009103</v>
      </c>
      <c r="S28" s="14">
        <v>4.8255595860853973</v>
      </c>
      <c r="T28" s="13">
        <v>13.285844630304778</v>
      </c>
      <c r="U28" s="13">
        <v>28.341702328936957</v>
      </c>
      <c r="V28" s="13">
        <v>35.005762085659029</v>
      </c>
      <c r="W28" s="13">
        <v>28.942678115052431</v>
      </c>
      <c r="X28" s="13">
        <v>2.9860444804930744</v>
      </c>
      <c r="Y28" s="13">
        <v>42.348324478623972</v>
      </c>
      <c r="Z28" s="13">
        <v>42.436632745643664</v>
      </c>
      <c r="AA28" s="13">
        <v>45.77087466191557</v>
      </c>
      <c r="AB28" s="13">
        <v>38.39524616895649</v>
      </c>
      <c r="AC28" s="13">
        <v>36.260645107297563</v>
      </c>
      <c r="AD28" s="13">
        <v>33.37790208543661</v>
      </c>
      <c r="AE28" s="13">
        <v>26.298218753889842</v>
      </c>
      <c r="AF28" s="13">
        <v>32.37546257232713</v>
      </c>
      <c r="AG28" s="17">
        <v>28.107080662741122</v>
      </c>
      <c r="AH28" s="17">
        <v>21.662114074000101</v>
      </c>
      <c r="AI28" s="17">
        <v>23.091482346932509</v>
      </c>
      <c r="AJ28" s="17">
        <v>3.2160580209295153</v>
      </c>
      <c r="AK28" s="17">
        <v>0.66114534279178183</v>
      </c>
      <c r="AL28" s="17">
        <v>4.1020680223446266</v>
      </c>
      <c r="AM28" s="17">
        <v>6.6772637698424182</v>
      </c>
      <c r="AN28" s="17">
        <v>2.2318524219742688</v>
      </c>
      <c r="AO28" s="17">
        <v>1.7409726477143446</v>
      </c>
      <c r="AP28" s="17">
        <v>4.0994361943587565</v>
      </c>
      <c r="AQ28" s="17">
        <v>3.9751985080833174</v>
      </c>
      <c r="AR28" s="17">
        <v>2.5183829806735449</v>
      </c>
      <c r="AS28" s="17">
        <v>3.4223675994682408</v>
      </c>
      <c r="AT28" s="17">
        <v>2.0508110539566071</v>
      </c>
      <c r="AU28" s="17">
        <v>2.725112388288129</v>
      </c>
      <c r="AV28" s="17">
        <v>2.4501131069682351</v>
      </c>
      <c r="AW28" s="17">
        <v>1.8333536154351699</v>
      </c>
      <c r="AX28" s="41">
        <f t="shared" ref="AX28:AX40" si="17">+(AW28+BA28)/2</f>
        <v>5.1421768077175853</v>
      </c>
      <c r="AY28" s="41">
        <f t="shared" ref="AY28:AY40" si="18">+(AX28+BA28)/2</f>
        <v>6.7965884038587934</v>
      </c>
      <c r="AZ28" s="41">
        <f t="shared" ref="AZ28:AZ40" si="19">+(AY28+BA28)/2</f>
        <v>7.6237942019293969</v>
      </c>
      <c r="BA28" s="27">
        <v>8.4510000000000005</v>
      </c>
      <c r="BB28" s="17">
        <v>4.0434384967707624</v>
      </c>
      <c r="BC28" s="17">
        <v>1.9076182536475796</v>
      </c>
      <c r="BD28" s="17">
        <v>5.2071726991898997</v>
      </c>
      <c r="BE28" s="17">
        <v>5.9399760000000006</v>
      </c>
      <c r="BF28" s="17">
        <v>4.7898942000000009</v>
      </c>
      <c r="BG28" s="17">
        <v>0.86456000000000022</v>
      </c>
      <c r="BH28" s="17">
        <v>2.3381500000000002</v>
      </c>
      <c r="BI28" s="17">
        <v>3.5518183000000003</v>
      </c>
      <c r="BJ28" s="17">
        <v>5.5579392000000007</v>
      </c>
      <c r="BK28" s="17">
        <v>4.0876704000000004</v>
      </c>
      <c r="BL28" s="17">
        <v>4.7080000000000002</v>
      </c>
      <c r="BM28" s="17">
        <v>9.5739999999999998</v>
      </c>
      <c r="BN28" s="17">
        <v>4.4860282709694701</v>
      </c>
      <c r="BO28" s="17">
        <v>10.705</v>
      </c>
      <c r="BP28" s="17">
        <v>8.3729999999999993</v>
      </c>
      <c r="BQ28" s="17">
        <v>3.72</v>
      </c>
      <c r="BR28" s="17">
        <v>6.9960000000000004</v>
      </c>
      <c r="BS28" s="17">
        <v>8.1820000000000004</v>
      </c>
      <c r="BT28" s="17">
        <v>9.8190000000000008</v>
      </c>
      <c r="BU28" s="17">
        <v>4.8239999999999998</v>
      </c>
      <c r="BV28" s="17">
        <v>6.7080000000000002</v>
      </c>
      <c r="BW28" s="17">
        <v>7.5090000000000003</v>
      </c>
      <c r="BX28" s="17">
        <v>8.4719999999999995</v>
      </c>
      <c r="BY28" s="17">
        <v>12.952</v>
      </c>
      <c r="BZ28" s="17">
        <v>4.2560000000000002</v>
      </c>
      <c r="CA28" s="17">
        <v>6.2030000000000003</v>
      </c>
      <c r="CB28" s="17">
        <v>4.1950000000000003</v>
      </c>
      <c r="CC28" s="17">
        <v>6.2850000000000001</v>
      </c>
      <c r="CD28" s="17">
        <v>6.1909999999999998</v>
      </c>
      <c r="CE28" s="17">
        <v>7.5919999999999996</v>
      </c>
      <c r="CF28" s="17">
        <v>9.0969999999999995</v>
      </c>
      <c r="CG28" s="17">
        <v>10.473000000000001</v>
      </c>
      <c r="CH28" s="17">
        <v>7.0460000000000003</v>
      </c>
      <c r="CI28" s="17">
        <v>5.4560000000000004</v>
      </c>
      <c r="CJ28" s="17">
        <v>10.775</v>
      </c>
    </row>
    <row r="29" spans="1:88" ht="20.149999999999999" customHeight="1" x14ac:dyDescent="0.25">
      <c r="A29" s="25" t="s">
        <v>29</v>
      </c>
      <c r="B29" s="13">
        <v>206.98074364777017</v>
      </c>
      <c r="C29" s="13">
        <v>168.99246894317767</v>
      </c>
      <c r="D29" s="13">
        <v>163.21513980431453</v>
      </c>
      <c r="E29" s="13">
        <v>167.32184891414406</v>
      </c>
      <c r="F29" s="13">
        <v>192.14845271085716</v>
      </c>
      <c r="G29" s="13">
        <v>169.08154766139225</v>
      </c>
      <c r="H29" s="13">
        <v>132.14558574035271</v>
      </c>
      <c r="I29" s="13">
        <v>147.39930158399815</v>
      </c>
      <c r="J29" s="13">
        <v>144.6623525814918</v>
      </c>
      <c r="K29" s="13">
        <v>117.19759589689328</v>
      </c>
      <c r="L29" s="13">
        <v>114.75702904331683</v>
      </c>
      <c r="M29" s="13">
        <v>131.19292807083036</v>
      </c>
      <c r="N29" s="13">
        <v>123.66051379923714</v>
      </c>
      <c r="O29" s="13">
        <v>120.04390880138908</v>
      </c>
      <c r="P29" s="13">
        <v>88.646971134611775</v>
      </c>
      <c r="Q29" s="13">
        <v>108.37064095087003</v>
      </c>
      <c r="R29" s="41">
        <f t="shared" si="16"/>
        <v>101.90378499283047</v>
      </c>
      <c r="S29" s="14">
        <v>95.436929034790907</v>
      </c>
      <c r="T29" s="13">
        <v>74.812587051538898</v>
      </c>
      <c r="U29" s="13">
        <v>85.361130465243363</v>
      </c>
      <c r="V29" s="13">
        <v>105.61470275742312</v>
      </c>
      <c r="W29" s="13">
        <v>142.70737165091731</v>
      </c>
      <c r="X29" s="13">
        <v>111.46169238552184</v>
      </c>
      <c r="Y29" s="13">
        <v>99.74756048836673</v>
      </c>
      <c r="Z29" s="13">
        <v>128.13973305836436</v>
      </c>
      <c r="AA29" s="13">
        <v>119.00345893108489</v>
      </c>
      <c r="AB29" s="13">
        <v>100.51279913929497</v>
      </c>
      <c r="AC29" s="13">
        <v>106.10360382515105</v>
      </c>
      <c r="AD29" s="13">
        <v>88.007521884338701</v>
      </c>
      <c r="AE29" s="13">
        <v>93.079687932798734</v>
      </c>
      <c r="AF29" s="13">
        <v>90.695280823072366</v>
      </c>
      <c r="AG29" s="17">
        <v>84.860520646935825</v>
      </c>
      <c r="AH29" s="17">
        <v>98.418800337915144</v>
      </c>
      <c r="AI29" s="17">
        <v>90.225282681850501</v>
      </c>
      <c r="AJ29" s="17">
        <v>74.618918587875328</v>
      </c>
      <c r="AK29" s="17">
        <v>98.255657561181778</v>
      </c>
      <c r="AL29" s="17">
        <v>115.29667793365083</v>
      </c>
      <c r="AM29" s="17">
        <v>88.842675857147157</v>
      </c>
      <c r="AN29" s="17">
        <v>86.341570566441291</v>
      </c>
      <c r="AO29" s="17">
        <v>126.14879342697454</v>
      </c>
      <c r="AP29" s="17">
        <v>87.225516246232615</v>
      </c>
      <c r="AQ29" s="17">
        <v>76.403783354876012</v>
      </c>
      <c r="AR29" s="17">
        <v>74.373080062369112</v>
      </c>
      <c r="AS29" s="17">
        <v>108.08251529453213</v>
      </c>
      <c r="AT29" s="17">
        <v>95.890194233656487</v>
      </c>
      <c r="AU29" s="17">
        <v>80.969188260172871</v>
      </c>
      <c r="AV29" s="17">
        <v>80.466608641581018</v>
      </c>
      <c r="AW29" s="17">
        <v>89.703158765486606</v>
      </c>
      <c r="AX29" s="41">
        <f t="shared" si="17"/>
        <v>108.60357938274331</v>
      </c>
      <c r="AY29" s="41">
        <f t="shared" si="18"/>
        <v>118.05378969137166</v>
      </c>
      <c r="AZ29" s="41">
        <f t="shared" si="19"/>
        <v>122.77889484568584</v>
      </c>
      <c r="BA29" s="27">
        <v>127.504</v>
      </c>
      <c r="BB29" s="17">
        <v>108.92227150996223</v>
      </c>
      <c r="BC29" s="17">
        <v>110.53559880883657</v>
      </c>
      <c r="BD29" s="17">
        <v>118.56308337597862</v>
      </c>
      <c r="BE29" s="17">
        <v>140.80066580000002</v>
      </c>
      <c r="BF29" s="17">
        <v>124.74937020000002</v>
      </c>
      <c r="BG29" s="17">
        <v>109.61631000000001</v>
      </c>
      <c r="BH29" s="17">
        <v>89.708199999999991</v>
      </c>
      <c r="BI29" s="17">
        <v>136.66168780000001</v>
      </c>
      <c r="BJ29" s="17">
        <v>147.13694820000001</v>
      </c>
      <c r="BK29" s="17">
        <v>128.98983240000001</v>
      </c>
      <c r="BL29" s="17">
        <v>134.45400000000001</v>
      </c>
      <c r="BM29" s="17">
        <v>193.14699999999999</v>
      </c>
      <c r="BN29" s="17">
        <v>177.65625779452745</v>
      </c>
      <c r="BO29" s="17">
        <v>147.35599999999999</v>
      </c>
      <c r="BP29" s="17">
        <v>145.154</v>
      </c>
      <c r="BQ29" s="17">
        <v>173.84899999999999</v>
      </c>
      <c r="BR29" s="17">
        <v>199.465</v>
      </c>
      <c r="BS29" s="17">
        <v>238.81299999999999</v>
      </c>
      <c r="BT29" s="17">
        <v>170.041</v>
      </c>
      <c r="BU29" s="17">
        <v>161.84800000000001</v>
      </c>
      <c r="BV29" s="17">
        <v>127.806</v>
      </c>
      <c r="BW29" s="17">
        <v>140.13800000000001</v>
      </c>
      <c r="BX29" s="17">
        <v>116.38500000000001</v>
      </c>
      <c r="BY29" s="17">
        <v>142.03</v>
      </c>
      <c r="BZ29" s="17">
        <v>141.745</v>
      </c>
      <c r="CA29" s="17">
        <v>161.214</v>
      </c>
      <c r="CB29" s="17">
        <v>138.054</v>
      </c>
      <c r="CC29" s="17">
        <v>156.08099999999999</v>
      </c>
      <c r="CD29" s="17">
        <v>142.73599999999999</v>
      </c>
      <c r="CE29" s="17">
        <v>159.703</v>
      </c>
      <c r="CF29" s="17">
        <v>137.25800000000001</v>
      </c>
      <c r="CG29" s="17">
        <v>165.69399999999999</v>
      </c>
      <c r="CH29" s="17">
        <v>156.785</v>
      </c>
      <c r="CI29" s="17">
        <v>86.960999999999999</v>
      </c>
      <c r="CJ29" s="17">
        <v>128.68799999999999</v>
      </c>
    </row>
    <row r="30" spans="1:88" ht="20.149999999999999" customHeight="1" x14ac:dyDescent="0.25">
      <c r="A30" s="25" t="s">
        <v>30</v>
      </c>
      <c r="B30" s="13">
        <v>198.92153032405699</v>
      </c>
      <c r="C30" s="13">
        <v>201.78428211546066</v>
      </c>
      <c r="D30" s="13">
        <v>188.12700990598955</v>
      </c>
      <c r="E30" s="13">
        <v>201.82034908544054</v>
      </c>
      <c r="F30" s="13">
        <v>182.70533141379642</v>
      </c>
      <c r="G30" s="13">
        <v>189.92844812025925</v>
      </c>
      <c r="H30" s="13">
        <v>150.47790361116625</v>
      </c>
      <c r="I30" s="13">
        <v>154.27871876405587</v>
      </c>
      <c r="J30" s="13">
        <v>188.01936597227854</v>
      </c>
      <c r="K30" s="13">
        <v>160.41052919810437</v>
      </c>
      <c r="L30" s="13">
        <v>152.6186590091248</v>
      </c>
      <c r="M30" s="13">
        <v>144.87382759471382</v>
      </c>
      <c r="N30" s="13">
        <v>133.69296493386372</v>
      </c>
      <c r="O30" s="13">
        <v>149.17899269304459</v>
      </c>
      <c r="P30" s="13">
        <v>145.45955115134709</v>
      </c>
      <c r="Q30" s="13">
        <v>134.63320062456526</v>
      </c>
      <c r="R30" s="41">
        <f t="shared" si="16"/>
        <v>126.71703754217745</v>
      </c>
      <c r="S30" s="14">
        <v>118.80087445978963</v>
      </c>
      <c r="T30" s="13">
        <v>123.38552941554293</v>
      </c>
      <c r="U30" s="13">
        <v>122.95210745278568</v>
      </c>
      <c r="V30" s="13">
        <v>128.59593374992102</v>
      </c>
      <c r="W30" s="13">
        <v>133.14161440457445</v>
      </c>
      <c r="X30" s="13">
        <v>144.86081362490194</v>
      </c>
      <c r="Y30" s="13">
        <v>168.31146589784291</v>
      </c>
      <c r="Z30" s="13">
        <v>164.22787486948408</v>
      </c>
      <c r="AA30" s="13">
        <v>139.19571264452981</v>
      </c>
      <c r="AB30" s="13">
        <v>131.66650976674777</v>
      </c>
      <c r="AC30" s="13">
        <v>162.48748710400085</v>
      </c>
      <c r="AD30" s="13">
        <v>153.04443712250514</v>
      </c>
      <c r="AE30" s="13">
        <v>108.42482991857929</v>
      </c>
      <c r="AF30" s="13">
        <v>155.7377385690888</v>
      </c>
      <c r="AG30" s="17">
        <v>113.84623593043088</v>
      </c>
      <c r="AH30" s="17">
        <v>160.02370934222253</v>
      </c>
      <c r="AI30" s="17">
        <v>146.968839537847</v>
      </c>
      <c r="AJ30" s="17">
        <v>134.92643037376195</v>
      </c>
      <c r="AK30" s="17">
        <v>135.1821158748385</v>
      </c>
      <c r="AL30" s="17">
        <v>136.51193254019569</v>
      </c>
      <c r="AM30" s="17">
        <v>140.51254199790833</v>
      </c>
      <c r="AN30" s="17">
        <v>144.21723392629849</v>
      </c>
      <c r="AO30" s="17">
        <v>179.05908841708384</v>
      </c>
      <c r="AP30" s="17">
        <v>152.81855952324079</v>
      </c>
      <c r="AQ30" s="17">
        <v>117.17729372419539</v>
      </c>
      <c r="AR30" s="17">
        <v>128.15277499728984</v>
      </c>
      <c r="AS30" s="17">
        <v>137.61583499178704</v>
      </c>
      <c r="AT30" s="17">
        <v>147.8808091989834</v>
      </c>
      <c r="AU30" s="17">
        <v>144.5431258506741</v>
      </c>
      <c r="AV30" s="17">
        <v>118.28139157168224</v>
      </c>
      <c r="AW30" s="17">
        <v>151.67471636598555</v>
      </c>
      <c r="AX30" s="41">
        <f t="shared" si="17"/>
        <v>167.43735818299277</v>
      </c>
      <c r="AY30" s="41">
        <f t="shared" si="18"/>
        <v>175.31867909149639</v>
      </c>
      <c r="AZ30" s="41">
        <f t="shared" si="19"/>
        <v>179.25933954574819</v>
      </c>
      <c r="BA30" s="27">
        <v>183.2</v>
      </c>
      <c r="BB30" s="17">
        <v>191.65817646337658</v>
      </c>
      <c r="BC30" s="17">
        <v>186.73002105572249</v>
      </c>
      <c r="BD30" s="17">
        <v>190.02892356847414</v>
      </c>
      <c r="BE30" s="17">
        <v>191.1672174</v>
      </c>
      <c r="BF30" s="17">
        <v>183.6816345</v>
      </c>
      <c r="BG30" s="17">
        <v>169.25984</v>
      </c>
      <c r="BH30" s="17">
        <v>190.67184</v>
      </c>
      <c r="BI30" s="17">
        <v>173.93002750000002</v>
      </c>
      <c r="BJ30" s="17">
        <v>208.18743660000001</v>
      </c>
      <c r="BK30" s="17">
        <v>190.39577040000003</v>
      </c>
      <c r="BL30" s="17">
        <v>215.65700000000001</v>
      </c>
      <c r="BM30" s="17">
        <v>230.81299999999999</v>
      </c>
      <c r="BN30" s="17">
        <v>253.75638496889914</v>
      </c>
      <c r="BO30" s="17">
        <v>235.048</v>
      </c>
      <c r="BP30" s="17">
        <v>170.44800000000001</v>
      </c>
      <c r="BQ30" s="17">
        <v>154.208</v>
      </c>
      <c r="BR30" s="17">
        <v>225.70699999999999</v>
      </c>
      <c r="BS30" s="17">
        <v>326.79899999999998</v>
      </c>
      <c r="BT30" s="17">
        <v>223.512</v>
      </c>
      <c r="BU30" s="17">
        <v>202.446</v>
      </c>
      <c r="BV30" s="17">
        <v>212.39599999999999</v>
      </c>
      <c r="BW30" s="17">
        <v>192.50200000000001</v>
      </c>
      <c r="BX30" s="17">
        <v>132.69</v>
      </c>
      <c r="BY30" s="17">
        <v>217.69300000000001</v>
      </c>
      <c r="BZ30" s="17">
        <v>169.99299999999999</v>
      </c>
      <c r="CA30" s="17">
        <v>171.03800000000001</v>
      </c>
      <c r="CB30" s="17">
        <v>146.28</v>
      </c>
      <c r="CC30" s="17">
        <v>190.208</v>
      </c>
      <c r="CD30" s="17">
        <v>189.08600000000001</v>
      </c>
      <c r="CE30" s="17">
        <v>160.892</v>
      </c>
      <c r="CF30" s="17">
        <v>169.73099999999999</v>
      </c>
      <c r="CG30" s="17">
        <v>212.37200000000001</v>
      </c>
      <c r="CH30" s="17">
        <v>237.066</v>
      </c>
      <c r="CI30" s="17">
        <v>229.20400000000001</v>
      </c>
      <c r="CJ30" s="17">
        <v>182.422</v>
      </c>
    </row>
    <row r="31" spans="1:88" ht="20.149999999999999" customHeight="1" x14ac:dyDescent="0.25">
      <c r="A31" s="25" t="s">
        <v>31</v>
      </c>
      <c r="B31" s="13">
        <v>252.70817376243591</v>
      </c>
      <c r="C31" s="13">
        <v>232.78549237434453</v>
      </c>
      <c r="D31" s="13">
        <v>214.6297996481249</v>
      </c>
      <c r="E31" s="13">
        <v>199.67227355909014</v>
      </c>
      <c r="F31" s="13">
        <v>211.00308909031563</v>
      </c>
      <c r="G31" s="13">
        <v>217.37598261906905</v>
      </c>
      <c r="H31" s="13">
        <v>202.68775621264024</v>
      </c>
      <c r="I31" s="13">
        <v>172.58297353267261</v>
      </c>
      <c r="J31" s="13">
        <v>215.74377923456225</v>
      </c>
      <c r="K31" s="13">
        <v>207.10626230398438</v>
      </c>
      <c r="L31" s="13">
        <v>162.49533890395017</v>
      </c>
      <c r="M31" s="13">
        <v>207.14769960145827</v>
      </c>
      <c r="N31" s="13">
        <v>178.34413888345557</v>
      </c>
      <c r="O31" s="13">
        <v>151.71665587030503</v>
      </c>
      <c r="P31" s="13">
        <v>136.83870656663197</v>
      </c>
      <c r="Q31" s="13">
        <v>150.70374508048445</v>
      </c>
      <c r="R31" s="41">
        <f t="shared" si="16"/>
        <v>148.70149410233387</v>
      </c>
      <c r="S31" s="14">
        <v>146.69924312418328</v>
      </c>
      <c r="T31" s="13">
        <v>149.77850355425295</v>
      </c>
      <c r="U31" s="13">
        <v>153.62364024396601</v>
      </c>
      <c r="V31" s="13">
        <v>158.40579790483002</v>
      </c>
      <c r="W31" s="13">
        <v>140.42336127157444</v>
      </c>
      <c r="X31" s="13">
        <v>155.61118439772005</v>
      </c>
      <c r="Y31" s="13">
        <v>189.74539006205748</v>
      </c>
      <c r="Z31" s="13">
        <v>173.16463588509217</v>
      </c>
      <c r="AA31" s="13">
        <v>183.51045435547078</v>
      </c>
      <c r="AB31" s="13">
        <v>181.02001418747219</v>
      </c>
      <c r="AC31" s="13">
        <v>168.48155622027846</v>
      </c>
      <c r="AD31" s="13">
        <v>134.24900454460695</v>
      </c>
      <c r="AE31" s="13">
        <v>150.86238071506389</v>
      </c>
      <c r="AF31" s="13">
        <v>132.327159219001</v>
      </c>
      <c r="AG31" s="17">
        <v>154.211141010598</v>
      </c>
      <c r="AH31" s="17">
        <v>162.01007038540283</v>
      </c>
      <c r="AI31" s="17">
        <v>150.70830099337195</v>
      </c>
      <c r="AJ31" s="17">
        <v>92.992281701373571</v>
      </c>
      <c r="AK31" s="17">
        <v>133.34982815966748</v>
      </c>
      <c r="AL31" s="17">
        <v>141.65287600607499</v>
      </c>
      <c r="AM31" s="17">
        <v>134.35152440278654</v>
      </c>
      <c r="AN31" s="17">
        <v>133.5742036093215</v>
      </c>
      <c r="AO31" s="17">
        <v>145.51414715214327</v>
      </c>
      <c r="AP31" s="17">
        <v>128.25600111701118</v>
      </c>
      <c r="AQ31" s="17">
        <v>106.88471422387012</v>
      </c>
      <c r="AR31" s="17">
        <v>96.89513860324432</v>
      </c>
      <c r="AS31" s="17">
        <v>118.87844750251229</v>
      </c>
      <c r="AT31" s="17">
        <v>133.45299777346844</v>
      </c>
      <c r="AU31" s="17">
        <v>132.8875367382532</v>
      </c>
      <c r="AV31" s="17">
        <v>109.94619303217631</v>
      </c>
      <c r="AW31" s="17">
        <v>109.43549066028775</v>
      </c>
      <c r="AX31" s="41">
        <f t="shared" si="17"/>
        <v>140.89024533014387</v>
      </c>
      <c r="AY31" s="41">
        <f t="shared" si="18"/>
        <v>156.61762266507193</v>
      </c>
      <c r="AZ31" s="41">
        <f t="shared" si="19"/>
        <v>164.48131133253597</v>
      </c>
      <c r="BA31" s="27">
        <v>172.345</v>
      </c>
      <c r="BB31" s="17">
        <v>138.96415063614461</v>
      </c>
      <c r="BC31" s="17">
        <v>156.44797277779327</v>
      </c>
      <c r="BD31" s="17">
        <v>161.55792024603349</v>
      </c>
      <c r="BE31" s="17">
        <v>166.6092554</v>
      </c>
      <c r="BF31" s="17">
        <v>171.17053590000003</v>
      </c>
      <c r="BG31" s="17">
        <v>161.19095000000002</v>
      </c>
      <c r="BH31" s="17">
        <v>161.31719999999999</v>
      </c>
      <c r="BI31" s="17">
        <v>165.97605510000005</v>
      </c>
      <c r="BJ31" s="17">
        <v>193.89775680000002</v>
      </c>
      <c r="BK31" s="17">
        <v>196.50304080000006</v>
      </c>
      <c r="BL31" s="17">
        <v>204.72499999999999</v>
      </c>
      <c r="BM31" s="17">
        <v>237.97200000000001</v>
      </c>
      <c r="BN31" s="17">
        <v>245.92587599647857</v>
      </c>
      <c r="BO31" s="17">
        <v>211.69200000000001</v>
      </c>
      <c r="BP31" s="17">
        <v>225.66300000000001</v>
      </c>
      <c r="BQ31" s="17">
        <v>178.22200000000001</v>
      </c>
      <c r="BR31" s="17">
        <v>249.99700000000001</v>
      </c>
      <c r="BS31" s="17">
        <v>275.66699999999997</v>
      </c>
      <c r="BT31" s="17">
        <v>244.839</v>
      </c>
      <c r="BU31" s="17">
        <v>243.92</v>
      </c>
      <c r="BV31" s="17">
        <v>238.178</v>
      </c>
      <c r="BW31" s="17">
        <v>260.59300000000002</v>
      </c>
      <c r="BX31" s="17">
        <v>198.286</v>
      </c>
      <c r="BY31" s="17">
        <v>207.42699999999999</v>
      </c>
      <c r="BZ31" s="17">
        <v>254.46600000000001</v>
      </c>
      <c r="CA31" s="17">
        <v>204.233</v>
      </c>
      <c r="CB31" s="17">
        <v>186.85</v>
      </c>
      <c r="CC31" s="17">
        <v>187.36199999999999</v>
      </c>
      <c r="CD31" s="17">
        <v>209.989</v>
      </c>
      <c r="CE31" s="17">
        <v>161.83199999999999</v>
      </c>
      <c r="CF31" s="17">
        <v>189.048</v>
      </c>
      <c r="CG31" s="17">
        <v>185.417</v>
      </c>
      <c r="CH31" s="17">
        <v>198.69</v>
      </c>
      <c r="CI31" s="17">
        <v>203.2</v>
      </c>
      <c r="CJ31" s="17">
        <v>234.58699999999999</v>
      </c>
    </row>
    <row r="32" spans="1:88" ht="20.149999999999999" customHeight="1" x14ac:dyDescent="0.25">
      <c r="A32" s="25" t="s">
        <v>32</v>
      </c>
      <c r="B32" s="13">
        <v>43.177765927208974</v>
      </c>
      <c r="C32" s="13">
        <v>49.143005497249952</v>
      </c>
      <c r="D32" s="13">
        <v>41.35882784161624</v>
      </c>
      <c r="E32" s="13">
        <v>57.294569927712494</v>
      </c>
      <c r="F32" s="13">
        <v>46.030883213096359</v>
      </c>
      <c r="G32" s="13">
        <v>58.937294018060804</v>
      </c>
      <c r="H32" s="13">
        <v>41.935292108900605</v>
      </c>
      <c r="I32" s="13">
        <v>40.539021387101748</v>
      </c>
      <c r="J32" s="13">
        <v>44.036558369571843</v>
      </c>
      <c r="K32" s="13">
        <v>41.458732752725972</v>
      </c>
      <c r="L32" s="13">
        <v>49.528765202263649</v>
      </c>
      <c r="M32" s="13">
        <v>50.414427375641409</v>
      </c>
      <c r="N32" s="13">
        <v>53.427296393713547</v>
      </c>
      <c r="O32" s="13">
        <v>53.898792633004376</v>
      </c>
      <c r="P32" s="13">
        <v>29.981719001137787</v>
      </c>
      <c r="Q32" s="13">
        <v>33.430781739355936</v>
      </c>
      <c r="R32" s="41">
        <f t="shared" si="16"/>
        <v>36.38129604429318</v>
      </c>
      <c r="S32" s="14">
        <v>39.33181034923043</v>
      </c>
      <c r="T32" s="13">
        <v>33.95891944140039</v>
      </c>
      <c r="U32" s="13">
        <v>47.152926061124141</v>
      </c>
      <c r="V32" s="13">
        <v>35.920175096545805</v>
      </c>
      <c r="W32" s="13">
        <v>45.992820688265603</v>
      </c>
      <c r="X32" s="13">
        <v>33.489699957431874</v>
      </c>
      <c r="Y32" s="13">
        <v>43.030836202877751</v>
      </c>
      <c r="Z32" s="13">
        <v>40.921547820130975</v>
      </c>
      <c r="AA32" s="13">
        <v>43.882691066285098</v>
      </c>
      <c r="AB32" s="13">
        <v>42.295712380414834</v>
      </c>
      <c r="AC32" s="13">
        <v>33.940854554627755</v>
      </c>
      <c r="AD32" s="13">
        <v>34.189854968087751</v>
      </c>
      <c r="AE32" s="13">
        <v>35.621008339735745</v>
      </c>
      <c r="AF32" s="13">
        <v>36.692190915304081</v>
      </c>
      <c r="AG32" s="17">
        <v>46.400520030433626</v>
      </c>
      <c r="AH32" s="17">
        <v>44.15675466273882</v>
      </c>
      <c r="AI32" s="17">
        <v>35.273465590219146</v>
      </c>
      <c r="AJ32" s="17">
        <v>31.179009288877232</v>
      </c>
      <c r="AK32" s="17">
        <v>43.203740300816627</v>
      </c>
      <c r="AL32" s="17">
        <v>32.090050668787661</v>
      </c>
      <c r="AM32" s="17">
        <v>33.36060937835947</v>
      </c>
      <c r="AN32" s="17">
        <v>34.900772569109165</v>
      </c>
      <c r="AO32" s="17">
        <v>45.678086148863251</v>
      </c>
      <c r="AP32" s="17">
        <v>35.055752713391122</v>
      </c>
      <c r="AQ32" s="17">
        <v>38.91767159820499</v>
      </c>
      <c r="AR32" s="17">
        <v>45.356138068529916</v>
      </c>
      <c r="AS32" s="17">
        <v>41.715425963667613</v>
      </c>
      <c r="AT32" s="17">
        <v>55.282732758830292</v>
      </c>
      <c r="AU32" s="17">
        <v>46.085546365110822</v>
      </c>
      <c r="AV32" s="17">
        <v>41.695048018459858</v>
      </c>
      <c r="AW32" s="17">
        <v>36.721141721720052</v>
      </c>
      <c r="AX32" s="41">
        <f t="shared" si="17"/>
        <v>53.246570860860032</v>
      </c>
      <c r="AY32" s="41">
        <f t="shared" si="18"/>
        <v>61.509285430430019</v>
      </c>
      <c r="AZ32" s="41">
        <f t="shared" si="19"/>
        <v>65.640642715215009</v>
      </c>
      <c r="BA32" s="27">
        <v>69.772000000000006</v>
      </c>
      <c r="BB32" s="17">
        <v>53.131509302769636</v>
      </c>
      <c r="BC32" s="17">
        <v>62.809722500072702</v>
      </c>
      <c r="BD32" s="17">
        <v>50.954820316183884</v>
      </c>
      <c r="BE32" s="17">
        <v>54.65485060000001</v>
      </c>
      <c r="BF32" s="17">
        <v>80.5332528</v>
      </c>
      <c r="BG32" s="17">
        <v>66.438810000000004</v>
      </c>
      <c r="BH32" s="17">
        <v>54.728870000000001</v>
      </c>
      <c r="BI32" s="17">
        <v>64.483124900000007</v>
      </c>
      <c r="BJ32" s="17">
        <v>59.295456000000016</v>
      </c>
      <c r="BK32" s="17">
        <v>72.78335460000001</v>
      </c>
      <c r="BL32" s="17">
        <v>78.019000000000005</v>
      </c>
      <c r="BM32" s="17">
        <v>79.162999999999997</v>
      </c>
      <c r="BN32" s="17">
        <v>61.702421873130874</v>
      </c>
      <c r="BO32" s="17">
        <v>94.281999999999996</v>
      </c>
      <c r="BP32" s="17">
        <v>80.463999999999999</v>
      </c>
      <c r="BQ32" s="17">
        <v>27.382000000000001</v>
      </c>
      <c r="BR32" s="17">
        <v>55.433999999999997</v>
      </c>
      <c r="BS32" s="17">
        <v>55.872999999999998</v>
      </c>
      <c r="BT32" s="17">
        <v>54.128999999999998</v>
      </c>
      <c r="BU32" s="17">
        <v>47.338000000000001</v>
      </c>
      <c r="BV32" s="17">
        <v>61.445</v>
      </c>
      <c r="BW32" s="17">
        <v>48.155000000000001</v>
      </c>
      <c r="BX32" s="17">
        <v>44.942999999999998</v>
      </c>
      <c r="BY32" s="17">
        <v>47.878</v>
      </c>
      <c r="BZ32" s="17">
        <v>45.91</v>
      </c>
      <c r="CA32" s="17">
        <v>54.073999999999998</v>
      </c>
      <c r="CB32" s="17">
        <v>42.921999999999997</v>
      </c>
      <c r="CC32" s="17">
        <v>38.987000000000002</v>
      </c>
      <c r="CD32" s="17">
        <v>73.606999999999999</v>
      </c>
      <c r="CE32" s="17">
        <v>90.213999999999999</v>
      </c>
      <c r="CF32" s="17">
        <v>53.021999999999998</v>
      </c>
      <c r="CG32" s="17">
        <v>53.097999999999999</v>
      </c>
      <c r="CH32" s="17">
        <v>102.148</v>
      </c>
      <c r="CI32" s="17">
        <v>108.56</v>
      </c>
      <c r="CJ32" s="17">
        <v>95.349000000000004</v>
      </c>
    </row>
    <row r="33" spans="1:88" ht="20.149999999999999" customHeight="1" x14ac:dyDescent="0.25">
      <c r="A33" s="25" t="s">
        <v>33</v>
      </c>
      <c r="B33" s="13">
        <v>66.473025102291373</v>
      </c>
      <c r="C33" s="13">
        <v>67.79698227270633</v>
      </c>
      <c r="D33" s="13">
        <v>69.154684537531509</v>
      </c>
      <c r="E33" s="13">
        <v>51.988517964045094</v>
      </c>
      <c r="F33" s="13">
        <v>73.833137008124368</v>
      </c>
      <c r="G33" s="13">
        <v>60.483360896618834</v>
      </c>
      <c r="H33" s="13">
        <v>58.687537312697465</v>
      </c>
      <c r="I33" s="13">
        <v>52.520545295353706</v>
      </c>
      <c r="J33" s="13">
        <v>53.575734876277018</v>
      </c>
      <c r="K33" s="13">
        <v>55.003864483498027</v>
      </c>
      <c r="L33" s="13">
        <v>55.004548862858677</v>
      </c>
      <c r="M33" s="13">
        <v>40.699317936264187</v>
      </c>
      <c r="N33" s="13">
        <v>43.420093022159818</v>
      </c>
      <c r="O33" s="13">
        <v>45.371475675059919</v>
      </c>
      <c r="P33" s="13">
        <v>43.703229965142697</v>
      </c>
      <c r="Q33" s="13">
        <v>44.339517931921939</v>
      </c>
      <c r="R33" s="41">
        <f t="shared" si="16"/>
        <v>42.277947928579806</v>
      </c>
      <c r="S33" s="14">
        <v>40.216377925237673</v>
      </c>
      <c r="T33" s="13">
        <v>38.638006269315738</v>
      </c>
      <c r="U33" s="13">
        <v>41.765383462812359</v>
      </c>
      <c r="V33" s="13">
        <v>44.331758782247654</v>
      </c>
      <c r="W33" s="13">
        <v>47.508026860562616</v>
      </c>
      <c r="X33" s="13">
        <v>42.070252450627883</v>
      </c>
      <c r="Y33" s="13">
        <v>53.3337072164639</v>
      </c>
      <c r="Z33" s="13">
        <v>54.92590135877446</v>
      </c>
      <c r="AA33" s="13">
        <v>42.472412546936702</v>
      </c>
      <c r="AB33" s="13">
        <v>44.024942886096717</v>
      </c>
      <c r="AC33" s="13">
        <v>36.31478376836823</v>
      </c>
      <c r="AD33" s="13">
        <v>45.45812686027655</v>
      </c>
      <c r="AE33" s="13">
        <v>49.437053382152044</v>
      </c>
      <c r="AF33" s="13">
        <v>31.927422995496823</v>
      </c>
      <c r="AG33" s="17">
        <v>28.414654042234915</v>
      </c>
      <c r="AH33" s="17">
        <v>36.5418573922937</v>
      </c>
      <c r="AI33" s="17">
        <v>28.61344779484131</v>
      </c>
      <c r="AJ33" s="17">
        <v>40.326633573400294</v>
      </c>
      <c r="AK33" s="17">
        <v>36.372247831907451</v>
      </c>
      <c r="AL33" s="17">
        <v>53.242623374189492</v>
      </c>
      <c r="AM33" s="17">
        <v>61.227619024931144</v>
      </c>
      <c r="AN33" s="17">
        <v>46.021909776112061</v>
      </c>
      <c r="AO33" s="17">
        <v>34.574870549124881</v>
      </c>
      <c r="AP33" s="17">
        <v>47.35302921283337</v>
      </c>
      <c r="AQ33" s="17">
        <v>31.88298450199612</v>
      </c>
      <c r="AR33" s="17">
        <v>46.025619991619948</v>
      </c>
      <c r="AS33" s="17">
        <v>64.88376289983951</v>
      </c>
      <c r="AT33" s="17">
        <v>58.476668098358211</v>
      </c>
      <c r="AU33" s="17">
        <v>48.079555466574128</v>
      </c>
      <c r="AV33" s="17">
        <v>50.126526074244524</v>
      </c>
      <c r="AW33" s="17">
        <v>49.349353517388188</v>
      </c>
      <c r="AX33" s="41">
        <f t="shared" si="17"/>
        <v>58.744176758694095</v>
      </c>
      <c r="AY33" s="41">
        <f t="shared" si="18"/>
        <v>63.441588379347046</v>
      </c>
      <c r="AZ33" s="41">
        <f t="shared" si="19"/>
        <v>65.790294189673517</v>
      </c>
      <c r="BA33" s="27">
        <v>68.138999999999996</v>
      </c>
      <c r="BB33" s="17">
        <v>59.777620854933083</v>
      </c>
      <c r="BC33" s="17">
        <v>41.672097850769262</v>
      </c>
      <c r="BD33" s="17">
        <v>46.819028205383759</v>
      </c>
      <c r="BE33" s="17">
        <v>65.911509199999998</v>
      </c>
      <c r="BF33" s="17">
        <v>62.004988499999996</v>
      </c>
      <c r="BG33" s="17">
        <v>46.504439999999995</v>
      </c>
      <c r="BH33" s="17">
        <v>59.093079999999993</v>
      </c>
      <c r="BI33" s="17">
        <v>66.960409600000006</v>
      </c>
      <c r="BJ33" s="17">
        <v>71.283801600000004</v>
      </c>
      <c r="BK33" s="17">
        <v>88.479685800000013</v>
      </c>
      <c r="BL33" s="17">
        <v>68.822000000000003</v>
      </c>
      <c r="BM33" s="17">
        <v>81.445999999999998</v>
      </c>
      <c r="BN33" s="17">
        <v>63.072278956552893</v>
      </c>
      <c r="BO33" s="17">
        <v>76.921999999999997</v>
      </c>
      <c r="BP33" s="17">
        <v>83.28</v>
      </c>
      <c r="BQ33" s="17">
        <v>74.201999999999998</v>
      </c>
      <c r="BR33" s="17">
        <v>84.617000000000004</v>
      </c>
      <c r="BS33" s="17">
        <v>100.143</v>
      </c>
      <c r="BT33" s="17">
        <v>92.433999999999997</v>
      </c>
      <c r="BU33" s="17">
        <v>72.792000000000002</v>
      </c>
      <c r="BV33" s="17">
        <v>79.915999999999997</v>
      </c>
      <c r="BW33" s="17">
        <v>76.055999999999997</v>
      </c>
      <c r="BX33" s="17">
        <v>65.382999999999996</v>
      </c>
      <c r="BY33" s="17">
        <v>70.698999999999998</v>
      </c>
      <c r="BZ33" s="17">
        <v>59.235999999999997</v>
      </c>
      <c r="CA33" s="17">
        <v>67.75</v>
      </c>
      <c r="CB33" s="17">
        <v>72.323999999999998</v>
      </c>
      <c r="CC33" s="17">
        <v>52.143999999999998</v>
      </c>
      <c r="CD33" s="17">
        <v>87.497</v>
      </c>
      <c r="CE33" s="17">
        <v>58.357999999999997</v>
      </c>
      <c r="CF33" s="17">
        <v>67.465999999999994</v>
      </c>
      <c r="CG33" s="17">
        <v>105.84099999999999</v>
      </c>
      <c r="CH33" s="17">
        <v>54.375999999999998</v>
      </c>
      <c r="CI33" s="17">
        <v>85.036000000000001</v>
      </c>
      <c r="CJ33" s="17">
        <v>61.052999999999997</v>
      </c>
    </row>
    <row r="34" spans="1:88" ht="20.149999999999999" customHeight="1" x14ac:dyDescent="0.25">
      <c r="A34" s="25" t="s">
        <v>34</v>
      </c>
      <c r="B34" s="13">
        <v>89.840377529986014</v>
      </c>
      <c r="C34" s="13">
        <v>106.94126923140128</v>
      </c>
      <c r="D34" s="13">
        <v>150.44712019780846</v>
      </c>
      <c r="E34" s="13">
        <v>103.98721638082172</v>
      </c>
      <c r="F34" s="13">
        <v>101.66495790719199</v>
      </c>
      <c r="G34" s="13">
        <v>91.392452393493897</v>
      </c>
      <c r="H34" s="13">
        <v>102.33372311149839</v>
      </c>
      <c r="I34" s="13">
        <v>97.262803756833705</v>
      </c>
      <c r="J34" s="13">
        <v>86.909204361946337</v>
      </c>
      <c r="K34" s="13">
        <v>76.494613292901704</v>
      </c>
      <c r="L34" s="13">
        <v>95.161319409532965</v>
      </c>
      <c r="M34" s="13">
        <v>95.144111456200932</v>
      </c>
      <c r="N34" s="13">
        <v>94.010550757008247</v>
      </c>
      <c r="O34" s="13">
        <v>93.975462914298532</v>
      </c>
      <c r="P34" s="13">
        <v>101.46491235517178</v>
      </c>
      <c r="Q34" s="13">
        <v>109.09444814998702</v>
      </c>
      <c r="R34" s="41">
        <f t="shared" si="16"/>
        <v>104.17481264978073</v>
      </c>
      <c r="S34" s="14">
        <v>99.255177149574465</v>
      </c>
      <c r="T34" s="13">
        <v>66.07280833455377</v>
      </c>
      <c r="U34" s="13">
        <v>55.946386394000847</v>
      </c>
      <c r="V34" s="13">
        <v>69.427315858807063</v>
      </c>
      <c r="W34" s="13">
        <v>77.594237590863401</v>
      </c>
      <c r="X34" s="13">
        <v>83.860626839859876</v>
      </c>
      <c r="Y34" s="13">
        <v>80.486468425395913</v>
      </c>
      <c r="Z34" s="13">
        <v>77.635884005706558</v>
      </c>
      <c r="AA34" s="13">
        <v>78.179767947952882</v>
      </c>
      <c r="AB34" s="13">
        <v>76.097371019519841</v>
      </c>
      <c r="AC34" s="13">
        <v>88.154083969794897</v>
      </c>
      <c r="AD34" s="13">
        <v>91.141966408686315</v>
      </c>
      <c r="AE34" s="13">
        <v>86.49312329172966</v>
      </c>
      <c r="AF34" s="13">
        <v>54.335539365461997</v>
      </c>
      <c r="AG34" s="17">
        <v>72.107503088524851</v>
      </c>
      <c r="AH34" s="17">
        <v>58.789101075912797</v>
      </c>
      <c r="AI34" s="17">
        <v>59.46400480292202</v>
      </c>
      <c r="AJ34" s="17">
        <v>80.125993971748869</v>
      </c>
      <c r="AK34" s="17">
        <v>98.107593907430598</v>
      </c>
      <c r="AL34" s="17">
        <v>99.635450797239386</v>
      </c>
      <c r="AM34" s="17">
        <v>120.77898055027146</v>
      </c>
      <c r="AN34" s="17">
        <v>76.58880825158144</v>
      </c>
      <c r="AO34" s="17">
        <v>111.12400339847831</v>
      </c>
      <c r="AP34" s="17">
        <v>79.037996777489425</v>
      </c>
      <c r="AQ34" s="17">
        <v>64.373389917564225</v>
      </c>
      <c r="AR34" s="17">
        <v>91.565537411586362</v>
      </c>
      <c r="AS34" s="17">
        <v>90.001156712969319</v>
      </c>
      <c r="AT34" s="17">
        <v>97.792729744874649</v>
      </c>
      <c r="AU34" s="17">
        <v>101.85871203632641</v>
      </c>
      <c r="AV34" s="17">
        <v>85.442053227610245</v>
      </c>
      <c r="AW34" s="17">
        <v>89.320667732665072</v>
      </c>
      <c r="AX34" s="41">
        <f t="shared" si="17"/>
        <v>101.49783386633254</v>
      </c>
      <c r="AY34" s="41">
        <f t="shared" si="18"/>
        <v>107.58641693316628</v>
      </c>
      <c r="AZ34" s="41">
        <f t="shared" si="19"/>
        <v>110.63070846658314</v>
      </c>
      <c r="BA34" s="27">
        <v>113.675</v>
      </c>
      <c r="BB34" s="17">
        <v>90.981407595130037</v>
      </c>
      <c r="BC34" s="17">
        <v>130.49019654115645</v>
      </c>
      <c r="BD34" s="17">
        <v>136.24238062065388</v>
      </c>
      <c r="BE34" s="17">
        <v>134.9809036</v>
      </c>
      <c r="BF34" s="17">
        <v>111.59382780000001</v>
      </c>
      <c r="BG34" s="17">
        <v>133.59572999999997</v>
      </c>
      <c r="BH34" s="17">
        <v>136.93883</v>
      </c>
      <c r="BI34" s="17">
        <v>121.27081180000003</v>
      </c>
      <c r="BJ34" s="17">
        <v>126.59660640000001</v>
      </c>
      <c r="BK34" s="17">
        <v>148.08111120000001</v>
      </c>
      <c r="BL34" s="17">
        <v>163.04</v>
      </c>
      <c r="BM34" s="17">
        <v>126.592</v>
      </c>
      <c r="BN34" s="17">
        <v>139.93749667973955</v>
      </c>
      <c r="BO34" s="17">
        <v>143.52799999999999</v>
      </c>
      <c r="BP34" s="17">
        <v>144.96899999999999</v>
      </c>
      <c r="BQ34" s="17">
        <v>73.492999999999995</v>
      </c>
      <c r="BR34" s="17">
        <v>177.78</v>
      </c>
      <c r="BS34" s="17">
        <v>143.78</v>
      </c>
      <c r="BT34" s="17">
        <v>180.75800000000001</v>
      </c>
      <c r="BU34" s="17">
        <v>149.881</v>
      </c>
      <c r="BV34" s="17">
        <v>131.75800000000001</v>
      </c>
      <c r="BW34" s="17">
        <v>192.86</v>
      </c>
      <c r="BX34" s="17">
        <v>121.20399999999999</v>
      </c>
      <c r="BY34" s="17">
        <v>138.00399999999999</v>
      </c>
      <c r="BZ34" s="17">
        <v>124.247</v>
      </c>
      <c r="CA34" s="17">
        <v>127.908</v>
      </c>
      <c r="CB34" s="17">
        <v>152.679</v>
      </c>
      <c r="CC34" s="17">
        <v>122.04900000000001</v>
      </c>
      <c r="CD34" s="17">
        <v>142.166</v>
      </c>
      <c r="CE34" s="17">
        <v>126.907</v>
      </c>
      <c r="CF34" s="17">
        <v>166.393</v>
      </c>
      <c r="CG34" s="17">
        <v>161.42599999999999</v>
      </c>
      <c r="CH34" s="17">
        <v>140.90100000000001</v>
      </c>
      <c r="CI34" s="17">
        <v>153.946</v>
      </c>
      <c r="CJ34" s="17">
        <v>118.795</v>
      </c>
    </row>
    <row r="35" spans="1:88" ht="20.149999999999999" customHeight="1" x14ac:dyDescent="0.25">
      <c r="A35" s="25" t="s">
        <v>35</v>
      </c>
      <c r="B35" s="13">
        <v>192.15593395566822</v>
      </c>
      <c r="C35" s="13">
        <v>197.81487520301067</v>
      </c>
      <c r="D35" s="13">
        <v>147.28357903415824</v>
      </c>
      <c r="E35" s="13">
        <v>162.55230680942771</v>
      </c>
      <c r="F35" s="13">
        <v>154.99075937557549</v>
      </c>
      <c r="G35" s="13">
        <v>128.89299337459758</v>
      </c>
      <c r="H35" s="13">
        <v>110.47222158979959</v>
      </c>
      <c r="I35" s="13">
        <v>149.33493566806786</v>
      </c>
      <c r="J35" s="13">
        <v>40.309790643813542</v>
      </c>
      <c r="K35" s="13">
        <v>132.23579499467721</v>
      </c>
      <c r="L35" s="13">
        <v>78.773892817870035</v>
      </c>
      <c r="M35" s="13">
        <v>141.76700160708435</v>
      </c>
      <c r="N35" s="13">
        <v>109.95602800329566</v>
      </c>
      <c r="O35" s="13">
        <v>102.22666108093486</v>
      </c>
      <c r="P35" s="13">
        <v>54.043184285706531</v>
      </c>
      <c r="Q35" s="13">
        <v>112.36322220026501</v>
      </c>
      <c r="R35" s="41">
        <f t="shared" si="16"/>
        <v>106.04555775428865</v>
      </c>
      <c r="S35" s="14">
        <v>99.727893308312289</v>
      </c>
      <c r="T35" s="13">
        <v>70.285814247969753</v>
      </c>
      <c r="U35" s="13">
        <v>109.06042987311761</v>
      </c>
      <c r="V35" s="13">
        <v>106.08714947971463</v>
      </c>
      <c r="W35" s="13">
        <v>99.604440154169822</v>
      </c>
      <c r="X35" s="13">
        <v>86.607502795160087</v>
      </c>
      <c r="Y35" s="13">
        <v>120.7261372783403</v>
      </c>
      <c r="Z35" s="13">
        <v>97.847198368224596</v>
      </c>
      <c r="AA35" s="13">
        <v>118.2157816944835</v>
      </c>
      <c r="AB35" s="13">
        <v>88.714424768178603</v>
      </c>
      <c r="AC35" s="13">
        <v>116.65144937639208</v>
      </c>
      <c r="AD35" s="13">
        <v>85.780013410046664</v>
      </c>
      <c r="AE35" s="13">
        <v>82.589633166924756</v>
      </c>
      <c r="AF35" s="13">
        <v>75.383170262403652</v>
      </c>
      <c r="AG35" s="17">
        <v>125.41714646698738</v>
      </c>
      <c r="AH35" s="17">
        <v>95.051738724669008</v>
      </c>
      <c r="AI35" s="17">
        <v>121.44116578163452</v>
      </c>
      <c r="AJ35" s="17">
        <v>48.072307349598717</v>
      </c>
      <c r="AK35" s="17">
        <v>118.96811756926522</v>
      </c>
      <c r="AL35" s="17">
        <v>96.342082056854991</v>
      </c>
      <c r="AM35" s="17">
        <v>124.61380522264824</v>
      </c>
      <c r="AN35" s="17">
        <v>72.328092755337863</v>
      </c>
      <c r="AO35" s="17">
        <v>111.27777039581642</v>
      </c>
      <c r="AP35" s="17">
        <v>114.63868964964728</v>
      </c>
      <c r="AQ35" s="17">
        <v>88.157428905267224</v>
      </c>
      <c r="AR35" s="17">
        <v>88.796729820164188</v>
      </c>
      <c r="AS35" s="17">
        <v>121.53561497145851</v>
      </c>
      <c r="AT35" s="17">
        <v>109.65577502572478</v>
      </c>
      <c r="AU35" s="17">
        <v>106.04302646420872</v>
      </c>
      <c r="AV35" s="17">
        <v>63.629728232337165</v>
      </c>
      <c r="AW35" s="17">
        <v>100.24669430373477</v>
      </c>
      <c r="AX35" s="41">
        <f t="shared" si="17"/>
        <v>114.02934715186738</v>
      </c>
      <c r="AY35" s="41">
        <f t="shared" si="18"/>
        <v>120.92067357593369</v>
      </c>
      <c r="AZ35" s="41">
        <f t="shared" si="19"/>
        <v>124.36633678796684</v>
      </c>
      <c r="BA35" s="27">
        <v>127.812</v>
      </c>
      <c r="BB35" s="17">
        <v>137.74364246420581</v>
      </c>
      <c r="BC35" s="17">
        <v>117.90700006059727</v>
      </c>
      <c r="BD35" s="17">
        <v>77.38827830810807</v>
      </c>
      <c r="BE35" s="17">
        <v>147.08613020000001</v>
      </c>
      <c r="BF35" s="17">
        <v>132.1746153</v>
      </c>
      <c r="BG35" s="17">
        <v>124.27343</v>
      </c>
      <c r="BH35" s="17">
        <v>91.263600000000011</v>
      </c>
      <c r="BI35" s="17">
        <v>142.32419710000002</v>
      </c>
      <c r="BJ35" s="17">
        <v>152.99580779999999</v>
      </c>
      <c r="BK35" s="17">
        <v>151.41042180000002</v>
      </c>
      <c r="BL35" s="17">
        <v>105.426</v>
      </c>
      <c r="BM35" s="17">
        <v>182.06700000000001</v>
      </c>
      <c r="BN35" s="17">
        <v>145.80454383258859</v>
      </c>
      <c r="BO35" s="17">
        <v>170.29900000000001</v>
      </c>
      <c r="BP35" s="17">
        <v>97.655000000000001</v>
      </c>
      <c r="BQ35" s="17">
        <v>72.135000000000005</v>
      </c>
      <c r="BR35" s="17">
        <v>117.21299999999999</v>
      </c>
      <c r="BS35" s="17">
        <v>119.096</v>
      </c>
      <c r="BT35" s="17">
        <v>104.42</v>
      </c>
      <c r="BU35" s="17">
        <v>172.863</v>
      </c>
      <c r="BV35" s="17">
        <v>144.48500000000001</v>
      </c>
      <c r="BW35" s="17">
        <v>156.41900000000001</v>
      </c>
      <c r="BX35" s="17">
        <v>107.65600000000001</v>
      </c>
      <c r="BY35" s="17">
        <v>145.71899999999999</v>
      </c>
      <c r="BZ35" s="17">
        <v>130.64599999999999</v>
      </c>
      <c r="CA35" s="17">
        <v>217.708</v>
      </c>
      <c r="CB35" s="17">
        <v>90.637</v>
      </c>
      <c r="CC35" s="17">
        <v>159.74100000000001</v>
      </c>
      <c r="CD35" s="17">
        <v>124.029</v>
      </c>
      <c r="CE35" s="17">
        <v>163.66900000000001</v>
      </c>
      <c r="CF35" s="17">
        <v>109.465</v>
      </c>
      <c r="CG35" s="17">
        <v>143.81899999999999</v>
      </c>
      <c r="CH35" s="17">
        <v>151.11000000000001</v>
      </c>
      <c r="CI35" s="17">
        <v>162.92699999999999</v>
      </c>
      <c r="CJ35" s="17">
        <v>99.947000000000003</v>
      </c>
    </row>
    <row r="36" spans="1:88" ht="20.149999999999999" customHeight="1" x14ac:dyDescent="0.25">
      <c r="A36" s="25" t="s">
        <v>36</v>
      </c>
      <c r="B36" s="13">
        <v>162.28800401777934</v>
      </c>
      <c r="C36" s="13">
        <v>137.51566154270992</v>
      </c>
      <c r="D36" s="13">
        <v>136.93599371770716</v>
      </c>
      <c r="E36" s="13">
        <v>117.64225762960737</v>
      </c>
      <c r="F36" s="13">
        <v>137.46358401196386</v>
      </c>
      <c r="G36" s="13">
        <v>95.857166976788534</v>
      </c>
      <c r="H36" s="13">
        <v>85.390356569582423</v>
      </c>
      <c r="I36" s="13">
        <v>104.33220929553889</v>
      </c>
      <c r="J36" s="13">
        <v>135.21616644030456</v>
      </c>
      <c r="K36" s="13">
        <v>85.860590068409451</v>
      </c>
      <c r="L36" s="13">
        <v>83.730659406877535</v>
      </c>
      <c r="M36" s="13">
        <v>74.976905482393505</v>
      </c>
      <c r="N36" s="13">
        <v>81.858297434785399</v>
      </c>
      <c r="O36" s="13">
        <v>63.214008999113773</v>
      </c>
      <c r="P36" s="13">
        <v>75.349419546310571</v>
      </c>
      <c r="Q36" s="13">
        <v>52.074637943744207</v>
      </c>
      <c r="R36" s="41">
        <f t="shared" si="16"/>
        <v>47.51597902988749</v>
      </c>
      <c r="S36" s="14">
        <v>42.957320116030772</v>
      </c>
      <c r="T36" s="13">
        <v>45.549001267317443</v>
      </c>
      <c r="U36" s="13">
        <v>60.968465390392112</v>
      </c>
      <c r="V36" s="13">
        <v>30.299583122961735</v>
      </c>
      <c r="W36" s="13">
        <v>46.545748747107865</v>
      </c>
      <c r="X36" s="13">
        <v>46.080141766627449</v>
      </c>
      <c r="Y36" s="13">
        <v>53.707560653480513</v>
      </c>
      <c r="Z36" s="13">
        <v>61.484141953685224</v>
      </c>
      <c r="AA36" s="13">
        <v>47.739558259734274</v>
      </c>
      <c r="AB36" s="13">
        <v>47.549755717336083</v>
      </c>
      <c r="AC36" s="13">
        <v>38.16673457065373</v>
      </c>
      <c r="AD36" s="13">
        <v>28.521504655240129</v>
      </c>
      <c r="AE36" s="13">
        <v>34.724605920397202</v>
      </c>
      <c r="AF36" s="13">
        <v>38.580503835004421</v>
      </c>
      <c r="AG36" s="17">
        <v>38.983900606239963</v>
      </c>
      <c r="AH36" s="17">
        <v>41.292699205130042</v>
      </c>
      <c r="AI36" s="17">
        <v>46.593443448587841</v>
      </c>
      <c r="AJ36" s="17">
        <v>44.232360796005651</v>
      </c>
      <c r="AK36" s="17">
        <v>36.406179085892092</v>
      </c>
      <c r="AL36" s="17">
        <v>34.389757140232362</v>
      </c>
      <c r="AM36" s="17">
        <v>43.950854611970627</v>
      </c>
      <c r="AN36" s="17">
        <v>43.966256229556819</v>
      </c>
      <c r="AO36" s="17">
        <v>50.450023032699129</v>
      </c>
      <c r="AP36" s="17">
        <v>41.969680977743927</v>
      </c>
      <c r="AQ36" s="17">
        <v>38.172894196639334</v>
      </c>
      <c r="AR36" s="17">
        <v>30.241801077863666</v>
      </c>
      <c r="AS36" s="17">
        <v>38.650619158173662</v>
      </c>
      <c r="AT36" s="17">
        <v>36.701202413088616</v>
      </c>
      <c r="AU36" s="17">
        <v>47.503686439280621</v>
      </c>
      <c r="AV36" s="17">
        <v>38.75049947893519</v>
      </c>
      <c r="AW36" s="17">
        <v>33.121520614407416</v>
      </c>
      <c r="AX36" s="41">
        <f t="shared" si="17"/>
        <v>48.654760307203709</v>
      </c>
      <c r="AY36" s="41">
        <f t="shared" si="18"/>
        <v>56.421380153601859</v>
      </c>
      <c r="AZ36" s="41">
        <f t="shared" si="19"/>
        <v>60.304690076800931</v>
      </c>
      <c r="BA36" s="27">
        <v>64.188000000000002</v>
      </c>
      <c r="BB36" s="17">
        <v>52.826382259784943</v>
      </c>
      <c r="BC36" s="17">
        <v>48.906879227600314</v>
      </c>
      <c r="BD36" s="17">
        <v>52.98831888338259</v>
      </c>
      <c r="BE36" s="17">
        <v>51.878820999999995</v>
      </c>
      <c r="BF36" s="17">
        <v>41.066625600000009</v>
      </c>
      <c r="BG36" s="17">
        <v>47.49727</v>
      </c>
      <c r="BH36" s="17">
        <v>53.311840000000004</v>
      </c>
      <c r="BI36" s="17">
        <v>86.554489400000023</v>
      </c>
      <c r="BJ36" s="17">
        <v>55.455186600000005</v>
      </c>
      <c r="BK36" s="17">
        <v>57.803981400000012</v>
      </c>
      <c r="BL36" s="17">
        <v>58.722999999999999</v>
      </c>
      <c r="BM36" s="17">
        <v>70</v>
      </c>
      <c r="BN36" s="17">
        <v>77.206159930616153</v>
      </c>
      <c r="BO36" s="17">
        <v>77.210999999999999</v>
      </c>
      <c r="BP36" s="17">
        <v>62.997</v>
      </c>
      <c r="BQ36" s="17">
        <v>53.777000000000001</v>
      </c>
      <c r="BR36" s="17">
        <v>87.046999999999997</v>
      </c>
      <c r="BS36" s="17">
        <v>75.498000000000005</v>
      </c>
      <c r="BT36" s="17">
        <v>61.774999999999999</v>
      </c>
      <c r="BU36" s="17">
        <v>103.453</v>
      </c>
      <c r="BV36" s="17">
        <v>85.766000000000005</v>
      </c>
      <c r="BW36" s="17">
        <v>87.971999999999994</v>
      </c>
      <c r="BX36" s="17">
        <v>122.619</v>
      </c>
      <c r="BY36" s="17">
        <v>78.632000000000005</v>
      </c>
      <c r="BZ36" s="17">
        <v>82.87</v>
      </c>
      <c r="CA36" s="17">
        <v>80.980999999999995</v>
      </c>
      <c r="CB36" s="17">
        <v>69.263999999999996</v>
      </c>
      <c r="CC36" s="17">
        <v>67.185000000000002</v>
      </c>
      <c r="CD36" s="17">
        <v>62.095999999999997</v>
      </c>
      <c r="CE36" s="17">
        <v>57.819000000000003</v>
      </c>
      <c r="CF36" s="17">
        <v>78.045000000000002</v>
      </c>
      <c r="CG36" s="17">
        <v>103.68300000000001</v>
      </c>
      <c r="CH36" s="17">
        <v>71.100999999999999</v>
      </c>
      <c r="CI36" s="17">
        <v>87.313000000000002</v>
      </c>
      <c r="CJ36" s="17">
        <v>65.878</v>
      </c>
    </row>
    <row r="37" spans="1:88" ht="20.149999999999999" customHeight="1" x14ac:dyDescent="0.25">
      <c r="A37" s="25" t="s">
        <v>68</v>
      </c>
      <c r="B37" s="13">
        <v>287.97802065662501</v>
      </c>
      <c r="C37" s="13">
        <v>258.83663067456382</v>
      </c>
      <c r="D37" s="13">
        <v>262.48954193111109</v>
      </c>
      <c r="E37" s="13">
        <v>302.80331386519117</v>
      </c>
      <c r="F37" s="13">
        <v>289.53127830886592</v>
      </c>
      <c r="G37" s="13">
        <v>293.71188667840772</v>
      </c>
      <c r="H37" s="13">
        <v>261.17395179480582</v>
      </c>
      <c r="I37" s="13">
        <v>256.97661959811109</v>
      </c>
      <c r="J37" s="13">
        <v>87.479409020836698</v>
      </c>
      <c r="K37" s="13">
        <v>264.94674997446646</v>
      </c>
      <c r="L37" s="13">
        <v>269.17228560793689</v>
      </c>
      <c r="M37" s="13">
        <v>259.71876237069006</v>
      </c>
      <c r="N37" s="13">
        <v>272.66877181309007</v>
      </c>
      <c r="O37" s="13">
        <v>278.86784213148246</v>
      </c>
      <c r="P37" s="13">
        <v>260.60044184067493</v>
      </c>
      <c r="Q37" s="13">
        <v>237.5302394416932</v>
      </c>
      <c r="R37" s="41">
        <f t="shared" si="16"/>
        <v>228.26028241629854</v>
      </c>
      <c r="S37" s="14">
        <v>218.99032539090385</v>
      </c>
      <c r="T37" s="13">
        <v>219.34844188779553</v>
      </c>
      <c r="U37" s="13">
        <v>190.78722785259572</v>
      </c>
      <c r="V37" s="13">
        <v>243.3151420524068</v>
      </c>
      <c r="W37" s="13">
        <v>182.65769675691783</v>
      </c>
      <c r="X37" s="13">
        <v>246.08812860897916</v>
      </c>
      <c r="Y37" s="13">
        <v>248.03290998754542</v>
      </c>
      <c r="Z37" s="13">
        <v>240.01368541439996</v>
      </c>
      <c r="AA37" s="13">
        <v>257.10070319132461</v>
      </c>
      <c r="AB37" s="13">
        <v>215.70466242953754</v>
      </c>
      <c r="AC37" s="13">
        <v>247.08169873735616</v>
      </c>
      <c r="AD37" s="13">
        <v>219.07305833432471</v>
      </c>
      <c r="AE37" s="13">
        <v>197.65520027871102</v>
      </c>
      <c r="AF37" s="13">
        <v>200.12741308176291</v>
      </c>
      <c r="AG37" s="17">
        <v>203.51925472184627</v>
      </c>
      <c r="AH37" s="17">
        <v>216.27314260375391</v>
      </c>
      <c r="AI37" s="17">
        <v>211.15745480762871</v>
      </c>
      <c r="AJ37" s="17">
        <v>196.41799420187002</v>
      </c>
      <c r="AK37" s="17">
        <v>254.48748954431474</v>
      </c>
      <c r="AL37" s="17">
        <v>236.56046734168922</v>
      </c>
      <c r="AM37" s="17">
        <v>224.71003066140412</v>
      </c>
      <c r="AN37" s="17">
        <v>190.18968436895963</v>
      </c>
      <c r="AO37" s="17">
        <v>213.07977857982897</v>
      </c>
      <c r="AP37" s="17">
        <v>190.76311432827598</v>
      </c>
      <c r="AQ37" s="17">
        <v>231.42533315999256</v>
      </c>
      <c r="AR37" s="17">
        <v>210.3657610187405</v>
      </c>
      <c r="AS37" s="17">
        <v>201.86560354264691</v>
      </c>
      <c r="AT37" s="17">
        <v>216.57346181966477</v>
      </c>
      <c r="AU37" s="17">
        <v>201.82256459501917</v>
      </c>
      <c r="AV37" s="17">
        <v>181.45579792495121</v>
      </c>
      <c r="AW37" s="17">
        <v>240.76809230689543</v>
      </c>
      <c r="AX37" s="41">
        <f t="shared" si="17"/>
        <v>268.8135461534477</v>
      </c>
      <c r="AY37" s="41">
        <f t="shared" si="18"/>
        <v>282.83627307672384</v>
      </c>
      <c r="AZ37" s="41">
        <f t="shared" si="19"/>
        <v>289.84763653836194</v>
      </c>
      <c r="BA37" s="27">
        <v>296.85899999999998</v>
      </c>
      <c r="BB37" s="17">
        <v>268.08138683212729</v>
      </c>
      <c r="BC37" s="17">
        <v>265.86328861220653</v>
      </c>
      <c r="BD37" s="17">
        <v>241.10413509336283</v>
      </c>
      <c r="BE37" s="17">
        <v>243.69458680000002</v>
      </c>
      <c r="BF37" s="17">
        <v>294.12798870000006</v>
      </c>
      <c r="BG37" s="17">
        <v>258.49232999999998</v>
      </c>
      <c r="BH37" s="17">
        <v>248.72361000000001</v>
      </c>
      <c r="BI37" s="17">
        <v>286.12183830000004</v>
      </c>
      <c r="BJ37" s="17">
        <v>320.68622520000002</v>
      </c>
      <c r="BK37" s="17">
        <v>297.4113450000001</v>
      </c>
      <c r="BL37" s="17">
        <v>315.57299999999998</v>
      </c>
      <c r="BM37" s="17">
        <v>313.322</v>
      </c>
      <c r="BN37" s="17">
        <v>300.44111437192186</v>
      </c>
      <c r="BO37" s="17">
        <v>314.32299999999998</v>
      </c>
      <c r="BP37" s="17">
        <v>293.86700000000002</v>
      </c>
      <c r="BQ37" s="17">
        <v>120.184</v>
      </c>
      <c r="BR37" s="17">
        <v>197.816</v>
      </c>
      <c r="BS37" s="17">
        <v>326.98700000000002</v>
      </c>
      <c r="BT37" s="17">
        <v>226.583</v>
      </c>
      <c r="BU37" s="17">
        <v>209.74700000000001</v>
      </c>
      <c r="BV37" s="17">
        <v>301.00900000000001</v>
      </c>
      <c r="BW37" s="17">
        <v>237.19</v>
      </c>
      <c r="BX37" s="17">
        <v>224.9</v>
      </c>
      <c r="BY37" s="17">
        <v>269.97899999999998</v>
      </c>
      <c r="BZ37" s="17">
        <v>263.762</v>
      </c>
      <c r="CA37" s="17">
        <v>188.36699999999999</v>
      </c>
      <c r="CB37" s="17">
        <v>228.18199999999999</v>
      </c>
      <c r="CC37" s="17">
        <v>243.07300000000001</v>
      </c>
      <c r="CD37" s="17">
        <v>207.006</v>
      </c>
      <c r="CE37" s="17">
        <v>276.05099999999999</v>
      </c>
      <c r="CF37" s="17">
        <v>240.35599999999999</v>
      </c>
      <c r="CG37" s="17">
        <v>288.06200000000001</v>
      </c>
      <c r="CH37" s="17">
        <v>260.50200000000001</v>
      </c>
      <c r="CI37" s="17">
        <v>262.375</v>
      </c>
      <c r="CJ37" s="17">
        <v>204.38200000000001</v>
      </c>
    </row>
    <row r="38" spans="1:88" ht="20.149999999999999" customHeight="1" x14ac:dyDescent="0.25">
      <c r="A38" s="25" t="s">
        <v>121</v>
      </c>
      <c r="B38" s="13">
        <v>226.94854382552256</v>
      </c>
      <c r="C38" s="13">
        <v>270.66863392127544</v>
      </c>
      <c r="D38" s="13">
        <v>238.41226928938363</v>
      </c>
      <c r="E38" s="13">
        <v>251.44598397050021</v>
      </c>
      <c r="F38" s="13">
        <v>215.39023559660507</v>
      </c>
      <c r="G38" s="13">
        <v>211.46827228245363</v>
      </c>
      <c r="H38" s="13">
        <v>189.23669775817308</v>
      </c>
      <c r="I38" s="13">
        <v>186.42760908701595</v>
      </c>
      <c r="J38" s="13">
        <v>280.5979170143749</v>
      </c>
      <c r="K38" s="13">
        <v>148.9831363664959</v>
      </c>
      <c r="L38" s="13">
        <v>145.99325765347498</v>
      </c>
      <c r="M38" s="13">
        <v>190.92065829160586</v>
      </c>
      <c r="N38" s="13">
        <v>119.73499159667087</v>
      </c>
      <c r="O38" s="13">
        <v>140.3219514641608</v>
      </c>
      <c r="P38" s="13">
        <v>105.28257040894292</v>
      </c>
      <c r="Q38" s="13">
        <v>135.69512195585719</v>
      </c>
      <c r="R38" s="41">
        <f t="shared" si="16"/>
        <v>121.64083390004811</v>
      </c>
      <c r="S38" s="14">
        <v>107.58654584423904</v>
      </c>
      <c r="T38" s="13">
        <v>95.972051313713379</v>
      </c>
      <c r="U38" s="13">
        <v>85.277885978139238</v>
      </c>
      <c r="V38" s="13">
        <v>99.358085734044465</v>
      </c>
      <c r="W38" s="13">
        <v>99.497520363785952</v>
      </c>
      <c r="X38" s="13">
        <v>96.919228315390427</v>
      </c>
      <c r="Y38" s="13">
        <v>118.52681964749867</v>
      </c>
      <c r="Z38" s="13">
        <v>140.7226762771048</v>
      </c>
      <c r="AA38" s="13">
        <v>121.94527546674877</v>
      </c>
      <c r="AB38" s="13">
        <v>104.17746119088758</v>
      </c>
      <c r="AC38" s="13">
        <v>117.02633406720223</v>
      </c>
      <c r="AD38" s="13">
        <v>113.61723073022233</v>
      </c>
      <c r="AE38" s="13">
        <v>107.3015160544367</v>
      </c>
      <c r="AF38" s="13">
        <v>111.8134932971859</v>
      </c>
      <c r="AG38" s="17">
        <v>108.53034268817984</v>
      </c>
      <c r="AH38" s="17">
        <v>120.70607920535029</v>
      </c>
      <c r="AI38" s="17">
        <v>101.50113407408649</v>
      </c>
      <c r="AJ38" s="17">
        <v>123.90097355352836</v>
      </c>
      <c r="AK38" s="17">
        <v>161.02333633369241</v>
      </c>
      <c r="AL38" s="17">
        <v>133.98307747932643</v>
      </c>
      <c r="AM38" s="17">
        <v>103.20809979075699</v>
      </c>
      <c r="AN38" s="17">
        <v>119.40822618674429</v>
      </c>
      <c r="AO38" s="17">
        <v>163.14678417576349</v>
      </c>
      <c r="AP38" s="17">
        <v>177.74028303411214</v>
      </c>
      <c r="AQ38" s="17">
        <v>133.33957381144992</v>
      </c>
      <c r="AR38" s="17">
        <v>138.96647320901116</v>
      </c>
      <c r="AS38" s="17">
        <v>169.38365925866842</v>
      </c>
      <c r="AT38" s="17">
        <v>144.36928367669813</v>
      </c>
      <c r="AU38" s="17">
        <v>172.36611271544166</v>
      </c>
      <c r="AV38" s="17">
        <v>125.66482697630776</v>
      </c>
      <c r="AW38" s="17">
        <v>169.64678848146661</v>
      </c>
      <c r="AX38" s="41">
        <f t="shared" si="17"/>
        <v>155.5338942407333</v>
      </c>
      <c r="AY38" s="41">
        <f t="shared" si="18"/>
        <v>148.47744712036666</v>
      </c>
      <c r="AZ38" s="41">
        <f t="shared" si="19"/>
        <v>144.94922356018333</v>
      </c>
      <c r="BA38" s="27">
        <v>141.42099999999999</v>
      </c>
      <c r="BB38" s="17">
        <v>151.35109615598708</v>
      </c>
      <c r="BC38" s="17">
        <v>157.32638797363734</v>
      </c>
      <c r="BD38" s="17">
        <v>146.23282756149325</v>
      </c>
      <c r="BE38" s="17">
        <v>156.2637972</v>
      </c>
      <c r="BF38" s="17">
        <v>166.02912690000002</v>
      </c>
      <c r="BG38" s="17">
        <v>190.06483000000003</v>
      </c>
      <c r="BH38" s="17">
        <v>179.71233000000001</v>
      </c>
      <c r="BI38" s="17">
        <v>195.33586790000004</v>
      </c>
      <c r="BJ38" s="17">
        <v>189.47079360000004</v>
      </c>
      <c r="BK38" s="17">
        <v>222.84468360000002</v>
      </c>
      <c r="BL38" s="17">
        <v>204.553</v>
      </c>
      <c r="BM38" s="17">
        <v>228.066</v>
      </c>
      <c r="BN38" s="17">
        <v>221.82450899985636</v>
      </c>
      <c r="BO38" s="17">
        <v>254.458</v>
      </c>
      <c r="BP38" s="17">
        <v>242.328</v>
      </c>
      <c r="BQ38" s="17">
        <v>116.889</v>
      </c>
      <c r="BR38" s="17">
        <v>198.048</v>
      </c>
      <c r="BS38" s="17">
        <v>268.79000000000002</v>
      </c>
      <c r="BT38" s="17">
        <v>212.405</v>
      </c>
      <c r="BU38" s="17">
        <v>246.71799999999999</v>
      </c>
      <c r="BV38" s="17">
        <v>244.059</v>
      </c>
      <c r="BW38" s="17">
        <v>236.416</v>
      </c>
      <c r="BX38" s="17">
        <v>194.221</v>
      </c>
      <c r="BY38" s="17">
        <v>204.25</v>
      </c>
      <c r="BZ38" s="17">
        <v>237.81100000000001</v>
      </c>
      <c r="CA38" s="17">
        <v>217.10400000000001</v>
      </c>
      <c r="CB38" s="17">
        <v>187.666</v>
      </c>
      <c r="CC38" s="17">
        <v>243.96700000000001</v>
      </c>
      <c r="CD38" s="17">
        <v>209.727</v>
      </c>
      <c r="CE38" s="17">
        <v>231.405</v>
      </c>
      <c r="CF38" s="17">
        <v>196.37700000000001</v>
      </c>
      <c r="CG38" s="17">
        <v>256.839</v>
      </c>
      <c r="CH38" s="17">
        <v>241.93100000000001</v>
      </c>
      <c r="CI38" s="17">
        <v>231.75200000000001</v>
      </c>
      <c r="CJ38" s="17">
        <v>221.785</v>
      </c>
    </row>
    <row r="39" spans="1:88" ht="20.149999999999999" customHeight="1" x14ac:dyDescent="0.25">
      <c r="A39" s="25" t="s">
        <v>37</v>
      </c>
      <c r="B39" s="13">
        <v>4.0412837379839548</v>
      </c>
      <c r="C39" s="13">
        <v>1.4918303500964252</v>
      </c>
      <c r="D39" s="13">
        <v>0</v>
      </c>
      <c r="E39" s="13">
        <v>1.1432648417495179</v>
      </c>
      <c r="F39" s="13">
        <v>0.54648164707671765</v>
      </c>
      <c r="G39" s="13">
        <v>0.50106853951946828</v>
      </c>
      <c r="H39" s="13">
        <v>0.93107774880476823</v>
      </c>
      <c r="I39" s="13">
        <v>0.31664726441245572</v>
      </c>
      <c r="J39" s="13">
        <v>136.92984603342131</v>
      </c>
      <c r="K39" s="13">
        <v>0.49154481218496904</v>
      </c>
      <c r="L39" s="13">
        <v>0.82203295559128831</v>
      </c>
      <c r="M39" s="13">
        <v>1.1572439920929396</v>
      </c>
      <c r="N39" s="13">
        <v>0.39891465655098679</v>
      </c>
      <c r="O39" s="13">
        <v>1.2440516971025593</v>
      </c>
      <c r="P39" s="13">
        <v>7.3864043977019275E-2</v>
      </c>
      <c r="Q39" s="13">
        <v>1.7553589975788271</v>
      </c>
      <c r="R39" s="41">
        <f t="shared" si="16"/>
        <v>0.92992173521644694</v>
      </c>
      <c r="S39" s="14">
        <v>0.10448447285406685</v>
      </c>
      <c r="T39" s="13">
        <v>1.5739115849107617</v>
      </c>
      <c r="U39" s="13">
        <v>6.1925776992089482E-2</v>
      </c>
      <c r="V39" s="13">
        <v>1.8105377615558251</v>
      </c>
      <c r="W39" s="13">
        <v>2.5355264576744383</v>
      </c>
      <c r="X39" s="13">
        <v>0.48749669603141876</v>
      </c>
      <c r="Y39" s="13">
        <v>2.1748694496743526</v>
      </c>
      <c r="Z39" s="13">
        <v>1.4427925668356705</v>
      </c>
      <c r="AA39" s="13">
        <v>2.0817911958300348</v>
      </c>
      <c r="AB39" s="13">
        <v>2.3182305067317204</v>
      </c>
      <c r="AC39" s="13">
        <v>2.6180639306440825</v>
      </c>
      <c r="AD39" s="13">
        <v>2.2673401251390488</v>
      </c>
      <c r="AE39" s="13">
        <v>1.7744066134227046</v>
      </c>
      <c r="AF39" s="13">
        <v>0.54624003202599325</v>
      </c>
      <c r="AG39" s="17">
        <v>1.6752496736428595</v>
      </c>
      <c r="AH39" s="17">
        <v>0.66622652042583963</v>
      </c>
      <c r="AI39" s="17">
        <v>3.9354650609050825</v>
      </c>
      <c r="AJ39" s="17">
        <v>3.2633378767821064</v>
      </c>
      <c r="AK39" s="17">
        <v>7.1368737547710079</v>
      </c>
      <c r="AL39" s="17">
        <v>3.312892611232233</v>
      </c>
      <c r="AM39" s="17">
        <v>4.2348640388435363</v>
      </c>
      <c r="AN39" s="17">
        <v>4.1525232043196221</v>
      </c>
      <c r="AO39" s="17">
        <v>1.9628512009203809</v>
      </c>
      <c r="AP39" s="17">
        <v>5.5918291291630782</v>
      </c>
      <c r="AQ39" s="17">
        <v>5.5349577384113759</v>
      </c>
      <c r="AR39" s="17">
        <v>11.771976258497267</v>
      </c>
      <c r="AS39" s="17">
        <v>14.701056957856258</v>
      </c>
      <c r="AT39" s="17">
        <v>4.4001769169406062</v>
      </c>
      <c r="AU39" s="17">
        <v>12.373672751672117</v>
      </c>
      <c r="AV39" s="17">
        <v>6.6111934511398305</v>
      </c>
      <c r="AW39" s="17">
        <v>3.6106352470012144</v>
      </c>
      <c r="AX39" s="41">
        <f t="shared" si="17"/>
        <v>5.7633176235006074</v>
      </c>
      <c r="AY39" s="41">
        <f t="shared" si="18"/>
        <v>6.8396588117503043</v>
      </c>
      <c r="AZ39" s="41">
        <f t="shared" si="19"/>
        <v>7.3778294058751523</v>
      </c>
      <c r="BA39" s="27">
        <v>7.9160000000000004</v>
      </c>
      <c r="BB39" s="17">
        <v>12.325313898577344</v>
      </c>
      <c r="BC39" s="17">
        <v>6.8704617103519459</v>
      </c>
      <c r="BD39" s="17">
        <v>4.5779010032707008</v>
      </c>
      <c r="BE39" s="17">
        <v>4.0569632000000002</v>
      </c>
      <c r="BF39" s="17">
        <v>10.733322600000001</v>
      </c>
      <c r="BG39" s="17">
        <v>1.52308</v>
      </c>
      <c r="BH39" s="17">
        <v>5.1782700000000004</v>
      </c>
      <c r="BI39" s="17">
        <v>4.1214019000000004</v>
      </c>
      <c r="BJ39" s="17">
        <v>8.6307606000000003</v>
      </c>
      <c r="BK39" s="17">
        <v>2.8627829999999999</v>
      </c>
      <c r="BL39" s="17">
        <v>0.58599999999999997</v>
      </c>
      <c r="BM39" s="17">
        <v>8.5850000000000009</v>
      </c>
      <c r="BN39" s="17">
        <v>4.7326025459854346</v>
      </c>
      <c r="BO39" s="17">
        <v>4.7590000000000003</v>
      </c>
      <c r="BP39" s="17">
        <v>7.87</v>
      </c>
      <c r="BQ39" s="17">
        <v>3.4380000000000002</v>
      </c>
      <c r="BR39" s="17">
        <v>8.1189999999999998</v>
      </c>
      <c r="BS39" s="17">
        <v>2.3690000000000002</v>
      </c>
      <c r="BT39" s="17">
        <v>2.4740000000000002</v>
      </c>
      <c r="BU39" s="17">
        <v>14.595000000000001</v>
      </c>
      <c r="BV39" s="17">
        <v>9.2729999999999997</v>
      </c>
      <c r="BW39" s="17">
        <v>4.617</v>
      </c>
      <c r="BX39" s="17">
        <v>2.9540000000000002</v>
      </c>
      <c r="BY39" s="17">
        <v>5.6139999999999999</v>
      </c>
      <c r="BZ39" s="17">
        <v>2.3610000000000002</v>
      </c>
      <c r="CA39" s="17">
        <v>7.819</v>
      </c>
      <c r="CB39" s="17">
        <v>3.081</v>
      </c>
      <c r="CC39" s="17">
        <v>11.11</v>
      </c>
      <c r="CD39" s="17">
        <v>6.9429999999999996</v>
      </c>
      <c r="CE39" s="17">
        <v>5.8689999999999998</v>
      </c>
      <c r="CF39" s="17">
        <v>15.246</v>
      </c>
      <c r="CG39" s="17">
        <v>8.3469999999999995</v>
      </c>
      <c r="CH39" s="17">
        <v>3.52</v>
      </c>
      <c r="CI39" s="17">
        <v>16.617000000000001</v>
      </c>
      <c r="CJ39" s="17">
        <v>6.8140000000000001</v>
      </c>
    </row>
    <row r="40" spans="1:88" ht="20.149999999999999" customHeight="1" x14ac:dyDescent="0.25">
      <c r="A40" s="25" t="s">
        <v>38</v>
      </c>
      <c r="B40" s="13">
        <v>2.9456693778621745</v>
      </c>
      <c r="C40" s="13">
        <v>1.9979144879356752</v>
      </c>
      <c r="D40" s="13">
        <v>5.0258828769558974</v>
      </c>
      <c r="E40" s="13">
        <v>0.17917596807472411</v>
      </c>
      <c r="F40" s="13">
        <v>0.15089418613312355</v>
      </c>
      <c r="G40" s="13">
        <v>4.5953393756744729</v>
      </c>
      <c r="H40" s="13">
        <v>1.8263841241647869</v>
      </c>
      <c r="I40" s="13">
        <v>0</v>
      </c>
      <c r="J40" s="13">
        <v>1.92520712786637</v>
      </c>
      <c r="K40" s="13">
        <v>0</v>
      </c>
      <c r="L40" s="13">
        <v>0</v>
      </c>
      <c r="M40" s="13">
        <v>0</v>
      </c>
      <c r="N40" s="13">
        <v>1.5380937263978551</v>
      </c>
      <c r="O40" s="13">
        <v>0</v>
      </c>
      <c r="P40" s="13">
        <v>1.1717063414436759</v>
      </c>
      <c r="Q40" s="13">
        <v>5.3632594977927486</v>
      </c>
      <c r="R40" s="41">
        <f t="shared" si="16"/>
        <v>6.6743567892226565</v>
      </c>
      <c r="S40" s="14">
        <v>7.9854540806525645</v>
      </c>
      <c r="T40" s="13">
        <v>1.6236674995305211</v>
      </c>
      <c r="U40" s="13">
        <v>1.360336740481966</v>
      </c>
      <c r="V40" s="13">
        <v>2.7920077265743029</v>
      </c>
      <c r="W40" s="13">
        <v>2.859340679979848</v>
      </c>
      <c r="X40" s="13">
        <v>0</v>
      </c>
      <c r="Y40" s="13">
        <v>0</v>
      </c>
      <c r="Z40" s="13">
        <v>1.603668519947905</v>
      </c>
      <c r="AA40" s="13">
        <v>1.9931392946860249</v>
      </c>
      <c r="AB40" s="13">
        <v>3.5299168173836586</v>
      </c>
      <c r="AC40" s="13">
        <v>1.843778928916336</v>
      </c>
      <c r="AD40" s="13">
        <v>0.29720539478174024</v>
      </c>
      <c r="AE40" s="13">
        <v>1.9399906407121503</v>
      </c>
      <c r="AF40" s="13">
        <v>1.5047173915922027</v>
      </c>
      <c r="AG40" s="17">
        <v>0.15071095595195863</v>
      </c>
      <c r="AH40" s="17">
        <v>3.8433776463395115</v>
      </c>
      <c r="AI40" s="17">
        <v>7.9017160284143767E-2</v>
      </c>
      <c r="AJ40" s="17">
        <v>3.230447542275956</v>
      </c>
      <c r="AK40" s="17">
        <v>3.4743547640644339</v>
      </c>
      <c r="AL40" s="17">
        <v>1.0799783295301109</v>
      </c>
      <c r="AM40" s="17">
        <v>5.018488710431388</v>
      </c>
      <c r="AN40" s="17">
        <v>2.4317505613385384</v>
      </c>
      <c r="AO40" s="17">
        <v>3.8183751016852843</v>
      </c>
      <c r="AP40" s="17">
        <v>0.57693475142158757</v>
      </c>
      <c r="AQ40" s="17">
        <v>3.6587698579645793</v>
      </c>
      <c r="AR40" s="17">
        <v>0.5594162675594001</v>
      </c>
      <c r="AS40" s="17">
        <v>5.342378921733566</v>
      </c>
      <c r="AT40" s="27" t="s">
        <v>66</v>
      </c>
      <c r="AU40" s="27" t="s">
        <v>66</v>
      </c>
      <c r="AV40" s="27">
        <v>3.050857172082428</v>
      </c>
      <c r="AW40" s="27">
        <v>3.0469115520312515</v>
      </c>
      <c r="AX40" s="41">
        <f t="shared" si="17"/>
        <v>11.205455776015626</v>
      </c>
      <c r="AY40" s="41">
        <f t="shared" si="18"/>
        <v>15.284727888007813</v>
      </c>
      <c r="AZ40" s="41">
        <f t="shared" si="19"/>
        <v>17.324363944003906</v>
      </c>
      <c r="BA40" s="27">
        <v>19.364000000000001</v>
      </c>
      <c r="BB40" s="27">
        <v>17.335661601097641</v>
      </c>
      <c r="BC40" s="27">
        <v>5.9252545756533586</v>
      </c>
      <c r="BD40" s="27">
        <v>22.864212745617202</v>
      </c>
      <c r="BE40" s="27">
        <v>21.606157600000003</v>
      </c>
      <c r="BF40" s="27">
        <v>11.637362100000001</v>
      </c>
      <c r="BG40" s="27">
        <v>9.0415200000000002</v>
      </c>
      <c r="BH40" s="27">
        <v>5.20655</v>
      </c>
      <c r="BI40" s="27">
        <v>13.654857900000003</v>
      </c>
      <c r="BJ40" s="27">
        <v>12.460932</v>
      </c>
      <c r="BK40" s="27">
        <v>10.239372000000001</v>
      </c>
      <c r="BL40" s="27">
        <v>8.1329999999999991</v>
      </c>
      <c r="BM40" s="27">
        <v>14.241</v>
      </c>
      <c r="BN40" s="27">
        <v>15.963401212144696</v>
      </c>
      <c r="BO40" s="27">
        <v>13.588999999999942</v>
      </c>
      <c r="BP40" s="27">
        <v>6.1820000000000004</v>
      </c>
      <c r="BQ40" s="27">
        <v>2.6309999999999998</v>
      </c>
      <c r="BR40" s="27">
        <v>12.061999999999999</v>
      </c>
      <c r="BS40" s="27">
        <v>12.507</v>
      </c>
      <c r="BT40" s="27">
        <v>8.9580000000000002</v>
      </c>
      <c r="BU40" s="27">
        <v>14.394</v>
      </c>
      <c r="BV40" s="27">
        <v>4.7889999999999997</v>
      </c>
      <c r="BW40" s="27">
        <v>6.6180000000000003</v>
      </c>
      <c r="BX40" s="27">
        <v>14.86</v>
      </c>
      <c r="BY40" s="27">
        <v>11.343999999999999</v>
      </c>
      <c r="BZ40" s="27">
        <v>17.469000000000001</v>
      </c>
      <c r="CA40" s="27">
        <v>12.819000000000001</v>
      </c>
      <c r="CB40" s="27">
        <v>10.324</v>
      </c>
      <c r="CC40" s="27">
        <v>5.8380000000000001</v>
      </c>
      <c r="CD40" s="27">
        <v>5.6580000000000004</v>
      </c>
      <c r="CE40" s="27">
        <v>1.252</v>
      </c>
      <c r="CF40" s="27">
        <v>12.313000000000001</v>
      </c>
      <c r="CG40" s="27">
        <v>4.0359999999999996</v>
      </c>
      <c r="CH40" s="27">
        <v>6.7279999999999998</v>
      </c>
      <c r="CI40" s="27">
        <v>8.0239999999999991</v>
      </c>
      <c r="CJ40" s="27">
        <v>6.1420000000000003</v>
      </c>
    </row>
    <row r="41" spans="1:88" ht="20.149999999999999" customHeight="1" thickBot="1" x14ac:dyDescent="0.35">
      <c r="A41" s="15" t="s">
        <v>22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6"/>
      <c r="Z41" s="16"/>
      <c r="AA41" s="16"/>
      <c r="AB41" s="16"/>
      <c r="AC41" s="16"/>
      <c r="AD41" s="16"/>
      <c r="AE41" s="16"/>
      <c r="AF41" s="16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34"/>
      <c r="AY41" s="34"/>
      <c r="AZ41" s="34"/>
      <c r="BA41" s="31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</row>
    <row r="42" spans="1:88" ht="20.149999999999999" customHeight="1" x14ac:dyDescent="0.25">
      <c r="A42" s="12" t="s">
        <v>23</v>
      </c>
      <c r="B42" s="13">
        <v>15.730544640413928</v>
      </c>
      <c r="C42" s="13">
        <v>10.845240801245945</v>
      </c>
      <c r="D42" s="13">
        <v>13.056723234551285</v>
      </c>
      <c r="E42" s="13">
        <v>10.030800076365097</v>
      </c>
      <c r="F42" s="13">
        <v>19.027960782449217</v>
      </c>
      <c r="G42" s="13">
        <v>13.803366732261361</v>
      </c>
      <c r="H42" s="13">
        <v>7.4189828524410686</v>
      </c>
      <c r="I42" s="13">
        <v>5.6363213065417135</v>
      </c>
      <c r="J42" s="13">
        <v>3.1095569480346943</v>
      </c>
      <c r="K42" s="13">
        <v>10.432014586933915</v>
      </c>
      <c r="L42" s="13">
        <v>7.1444184272373628</v>
      </c>
      <c r="M42" s="13">
        <v>15.37012724661969</v>
      </c>
      <c r="N42" s="13">
        <v>10.17585842888036</v>
      </c>
      <c r="O42" s="13">
        <v>9.020891940209534</v>
      </c>
      <c r="P42" s="13">
        <v>8.3000925033354687</v>
      </c>
      <c r="Q42" s="13">
        <v>11.550162970517677</v>
      </c>
      <c r="R42" s="41">
        <f t="shared" ref="R42:R45" si="20">+(Q42+S42)/2</f>
        <v>9.7992553086771217</v>
      </c>
      <c r="S42" s="14">
        <v>8.048347646836568</v>
      </c>
      <c r="T42" s="13">
        <v>5.6731896934815644</v>
      </c>
      <c r="U42" s="13">
        <v>7.9244691016434512</v>
      </c>
      <c r="V42" s="13">
        <v>8.6330748372277473</v>
      </c>
      <c r="W42" s="13">
        <v>11.502532877867653</v>
      </c>
      <c r="X42" s="13">
        <v>7.3836921288266035</v>
      </c>
      <c r="Y42" s="13">
        <v>13.558553805698191</v>
      </c>
      <c r="Z42" s="13">
        <v>6.7079163234392354</v>
      </c>
      <c r="AA42" s="13">
        <v>9.9707914102774797</v>
      </c>
      <c r="AB42" s="13">
        <v>13.486772987643983</v>
      </c>
      <c r="AC42" s="13">
        <v>19.358146527364809</v>
      </c>
      <c r="AD42" s="13">
        <v>15.956150799570885</v>
      </c>
      <c r="AE42" s="13">
        <v>14.793195228149081</v>
      </c>
      <c r="AF42" s="13">
        <v>7.4243635813570403</v>
      </c>
      <c r="AG42" s="17">
        <v>14.377005002138201</v>
      </c>
      <c r="AH42" s="17">
        <v>13.319397692642941</v>
      </c>
      <c r="AI42" s="17">
        <v>15.148326524899581</v>
      </c>
      <c r="AJ42" s="17">
        <v>3.9221723898584302</v>
      </c>
      <c r="AK42" s="17">
        <v>5.1164218129578636</v>
      </c>
      <c r="AL42" s="17">
        <v>10.760735553605441</v>
      </c>
      <c r="AM42" s="17">
        <v>9.3232825099940513</v>
      </c>
      <c r="AN42" s="17">
        <v>10.383368816359514</v>
      </c>
      <c r="AO42" s="17">
        <v>13.892693410510081</v>
      </c>
      <c r="AP42" s="17">
        <v>5.8467537867679651</v>
      </c>
      <c r="AQ42" s="17">
        <v>12.840287988741098</v>
      </c>
      <c r="AR42" s="17">
        <v>7.1532578328353615</v>
      </c>
      <c r="AS42" s="17">
        <v>12.19312354577886</v>
      </c>
      <c r="AT42" s="17">
        <v>5.8188131907083411</v>
      </c>
      <c r="AU42" s="17">
        <v>10.120272210088771</v>
      </c>
      <c r="AV42" s="17">
        <v>7.9621154139258374</v>
      </c>
      <c r="AW42" s="17">
        <v>8.9404775708468769</v>
      </c>
      <c r="AX42" s="41">
        <f t="shared" ref="AX42:AX45" si="21">+(AW42+BA42)/2</f>
        <v>12.427215395261934</v>
      </c>
      <c r="AY42" s="41">
        <f t="shared" ref="AY42:AY45" si="22">+(AX42+BA42)/2</f>
        <v>14.170584307469461</v>
      </c>
      <c r="AZ42" s="41">
        <f t="shared" ref="AZ42:AZ45" si="23">+(AY42+BA42)/2</f>
        <v>15.042268763573226</v>
      </c>
      <c r="BA42" s="17">
        <v>15.913953219676991</v>
      </c>
      <c r="BB42" s="17">
        <v>17.422552083536985</v>
      </c>
      <c r="BC42" s="17">
        <v>12.102496920621435</v>
      </c>
      <c r="BD42" s="17">
        <v>15.628599933375865</v>
      </c>
      <c r="BE42" s="17">
        <v>16.2399752</v>
      </c>
      <c r="BF42" s="17">
        <v>18.438365400000002</v>
      </c>
      <c r="BG42" s="17">
        <v>16.114549999999998</v>
      </c>
      <c r="BH42" s="17">
        <v>18.353719999999999</v>
      </c>
      <c r="BI42" s="17">
        <v>16.672439100000005</v>
      </c>
      <c r="BJ42" s="17">
        <v>13.603015800000003</v>
      </c>
      <c r="BK42" s="17">
        <v>11.983296600000001</v>
      </c>
      <c r="BL42" s="17">
        <v>10.923</v>
      </c>
      <c r="BM42" s="17">
        <v>22.66</v>
      </c>
      <c r="BN42" s="17">
        <v>25.859857608155835</v>
      </c>
      <c r="BO42" s="17">
        <v>14.928000000000001</v>
      </c>
      <c r="BP42" s="17">
        <v>27.914999999999999</v>
      </c>
      <c r="BQ42" s="17">
        <v>17.771000000000001</v>
      </c>
      <c r="BR42" s="17">
        <v>28.372</v>
      </c>
      <c r="BS42" s="17">
        <v>15.811</v>
      </c>
      <c r="BT42" s="17">
        <v>14.368</v>
      </c>
      <c r="BU42" s="17">
        <v>31.795999999999999</v>
      </c>
      <c r="BV42" s="17">
        <v>16.382999999999999</v>
      </c>
      <c r="BW42" s="17">
        <v>25.93</v>
      </c>
      <c r="BX42" s="17">
        <v>6.444</v>
      </c>
      <c r="BY42" s="17">
        <v>8.9009999999999998</v>
      </c>
      <c r="BZ42" s="17">
        <v>14.127000000000001</v>
      </c>
      <c r="CA42" s="17">
        <v>14.943</v>
      </c>
      <c r="CB42" s="17">
        <v>21.765999999999998</v>
      </c>
      <c r="CC42" s="17">
        <v>21.625</v>
      </c>
      <c r="CD42" s="17">
        <v>31.504000000000001</v>
      </c>
      <c r="CE42" s="17">
        <v>15.721</v>
      </c>
      <c r="CF42" s="17">
        <v>13.037000000000001</v>
      </c>
      <c r="CG42" s="17">
        <v>13.127000000000001</v>
      </c>
      <c r="CH42" s="17">
        <v>26.4</v>
      </c>
      <c r="CI42" s="17">
        <v>24.898</v>
      </c>
      <c r="CJ42" s="17">
        <v>14.679</v>
      </c>
    </row>
    <row r="43" spans="1:88" ht="20.149999999999999" customHeight="1" x14ac:dyDescent="0.25">
      <c r="A43" s="12" t="s">
        <v>24</v>
      </c>
      <c r="B43" s="13">
        <v>540.40797538785296</v>
      </c>
      <c r="C43" s="13">
        <v>527.99006088194699</v>
      </c>
      <c r="D43" s="13">
        <v>515.80461117522236</v>
      </c>
      <c r="E43" s="13">
        <v>510.51712703690771</v>
      </c>
      <c r="F43" s="13">
        <v>504.97045256043305</v>
      </c>
      <c r="G43" s="13">
        <v>486.80696550768715</v>
      </c>
      <c r="H43" s="13">
        <v>455.14371327933986</v>
      </c>
      <c r="I43" s="13">
        <v>450.10387193442153</v>
      </c>
      <c r="J43" s="13">
        <v>472.98783016599759</v>
      </c>
      <c r="K43" s="13">
        <v>419.35019194699373</v>
      </c>
      <c r="L43" s="13">
        <v>395.24122518585369</v>
      </c>
      <c r="M43" s="13">
        <v>430.12678401945811</v>
      </c>
      <c r="N43" s="13">
        <v>367.12368320018038</v>
      </c>
      <c r="O43" s="13">
        <v>405.53860192426663</v>
      </c>
      <c r="P43" s="13">
        <v>339.36177311699242</v>
      </c>
      <c r="Q43" s="13">
        <v>358.29498447486492</v>
      </c>
      <c r="R43" s="41">
        <f t="shared" si="20"/>
        <v>339.08532383716914</v>
      </c>
      <c r="S43" s="14">
        <v>319.87566319947337</v>
      </c>
      <c r="T43" s="13">
        <v>285.45374388087652</v>
      </c>
      <c r="U43" s="13">
        <v>304.75908246485642</v>
      </c>
      <c r="V43" s="13">
        <v>354.65610228689434</v>
      </c>
      <c r="W43" s="13">
        <v>332.21506297842791</v>
      </c>
      <c r="X43" s="13">
        <v>340.28287121398102</v>
      </c>
      <c r="Y43" s="13">
        <v>425.4482673475614</v>
      </c>
      <c r="Z43" s="13">
        <v>390.42048314752037</v>
      </c>
      <c r="AA43" s="13">
        <v>398.95902983228314</v>
      </c>
      <c r="AB43" s="13">
        <v>365.91191226399491</v>
      </c>
      <c r="AC43" s="13">
        <v>385.23028249549031</v>
      </c>
      <c r="AD43" s="13">
        <v>353.77757355272092</v>
      </c>
      <c r="AE43" s="13">
        <v>320.21804418165834</v>
      </c>
      <c r="AF43" s="13">
        <v>314.3191986532193</v>
      </c>
      <c r="AG43" s="17">
        <v>335.41184607177632</v>
      </c>
      <c r="AH43" s="17">
        <v>348.57094733860896</v>
      </c>
      <c r="AI43" s="17">
        <v>334.33991795862386</v>
      </c>
      <c r="AJ43" s="17">
        <v>305.85133186450554</v>
      </c>
      <c r="AK43" s="17">
        <v>389.1051127392268</v>
      </c>
      <c r="AL43" s="17">
        <v>341.49202499944079</v>
      </c>
      <c r="AM43" s="17">
        <v>378.76118001030204</v>
      </c>
      <c r="AN43" s="17">
        <v>353.87534842488958</v>
      </c>
      <c r="AO43" s="17">
        <v>438.50735664389163</v>
      </c>
      <c r="AP43" s="17">
        <v>352.60930939835868</v>
      </c>
      <c r="AQ43" s="17">
        <v>300.00386652109614</v>
      </c>
      <c r="AR43" s="17">
        <v>348.36789752103834</v>
      </c>
      <c r="AS43" s="17">
        <v>436.54366975025698</v>
      </c>
      <c r="AT43" s="17">
        <v>405.18395963005605</v>
      </c>
      <c r="AU43" s="17">
        <v>381.61688700687142</v>
      </c>
      <c r="AV43" s="17">
        <v>344.16416878950241</v>
      </c>
      <c r="AW43" s="17">
        <v>374.94734842028743</v>
      </c>
      <c r="AX43" s="41">
        <f t="shared" si="21"/>
        <v>434.91960836075043</v>
      </c>
      <c r="AY43" s="41">
        <f t="shared" si="22"/>
        <v>464.90573833098199</v>
      </c>
      <c r="AZ43" s="41">
        <f t="shared" si="23"/>
        <v>479.89880331609777</v>
      </c>
      <c r="BA43" s="17">
        <v>494.89186830121349</v>
      </c>
      <c r="BB43" s="17">
        <v>465.94819137212971</v>
      </c>
      <c r="BC43" s="17">
        <v>476.98552333777917</v>
      </c>
      <c r="BD43" s="17">
        <v>535.84103612846923</v>
      </c>
      <c r="BE43" s="17">
        <v>502.88665180000004</v>
      </c>
      <c r="BF43" s="17">
        <v>488.1924411</v>
      </c>
      <c r="BG43" s="17">
        <v>481.82655999999997</v>
      </c>
      <c r="BH43" s="17">
        <v>471.82856999999996</v>
      </c>
      <c r="BI43" s="17">
        <v>528.15346240000008</v>
      </c>
      <c r="BJ43" s="17">
        <v>538.17089040000008</v>
      </c>
      <c r="BK43" s="17">
        <v>573.10997040000007</v>
      </c>
      <c r="BL43" s="17">
        <v>593.89</v>
      </c>
      <c r="BM43" s="17">
        <v>651.89300000000003</v>
      </c>
      <c r="BN43" s="17">
        <v>655.5506881708402</v>
      </c>
      <c r="BO43" s="17">
        <v>644.58500000000004</v>
      </c>
      <c r="BP43" s="17">
        <v>609.98599999999999</v>
      </c>
      <c r="BQ43" s="17">
        <v>465.899</v>
      </c>
      <c r="BR43" s="17">
        <v>786.79100000000005</v>
      </c>
      <c r="BS43" s="17">
        <v>974.80100000000004</v>
      </c>
      <c r="BT43" s="17">
        <v>734.59799999999996</v>
      </c>
      <c r="BU43" s="17">
        <v>700.31100000000004</v>
      </c>
      <c r="BV43" s="17">
        <v>691.17700000000002</v>
      </c>
      <c r="BW43" s="17">
        <v>706.47900000000004</v>
      </c>
      <c r="BX43" s="17">
        <v>554.13</v>
      </c>
      <c r="BY43" s="17">
        <v>606.91399999999999</v>
      </c>
      <c r="BZ43" s="17">
        <v>568.28300000000002</v>
      </c>
      <c r="CA43" s="17">
        <v>621.26700000000005</v>
      </c>
      <c r="CB43" s="17">
        <v>546.41200000000003</v>
      </c>
      <c r="CC43" s="17">
        <v>575.15</v>
      </c>
      <c r="CD43" s="17">
        <v>576.17200000000003</v>
      </c>
      <c r="CE43" s="17">
        <v>588.32799999999997</v>
      </c>
      <c r="CF43" s="17">
        <v>593.10400000000004</v>
      </c>
      <c r="CG43" s="17">
        <v>690.73</v>
      </c>
      <c r="CH43" s="17">
        <v>665.57500000000005</v>
      </c>
      <c r="CI43" s="17">
        <v>678.346</v>
      </c>
      <c r="CJ43" s="17">
        <v>564.67200000000003</v>
      </c>
    </row>
    <row r="44" spans="1:88" ht="20.149999999999999" customHeight="1" x14ac:dyDescent="0.25">
      <c r="A44" s="12" t="s">
        <v>25</v>
      </c>
      <c r="B44" s="13">
        <v>1203.2018625694761</v>
      </c>
      <c r="C44" s="13">
        <v>1196.6369601541162</v>
      </c>
      <c r="D44" s="13">
        <v>1097.3980698722801</v>
      </c>
      <c r="E44" s="13">
        <v>1121.4287886856841</v>
      </c>
      <c r="F44" s="13">
        <v>1110.6495201456737</v>
      </c>
      <c r="G44" s="13">
        <v>1041.5939303871664</v>
      </c>
      <c r="H44" s="13">
        <v>889.22421983516983</v>
      </c>
      <c r="I44" s="13">
        <v>932.06960876825497</v>
      </c>
      <c r="J44" s="13">
        <v>960.22975493210561</v>
      </c>
      <c r="K44" s="13">
        <v>874.33431062232148</v>
      </c>
      <c r="L44" s="13">
        <v>813.40928732491102</v>
      </c>
      <c r="M44" s="13">
        <v>908.50828497050099</v>
      </c>
      <c r="N44" s="13">
        <v>841.43724948139538</v>
      </c>
      <c r="O44" s="13">
        <v>786.20021560305804</v>
      </c>
      <c r="P44" s="13">
        <v>695.4026544657271</v>
      </c>
      <c r="Q44" s="13">
        <v>758.65305259089382</v>
      </c>
      <c r="R44" s="41">
        <f t="shared" si="20"/>
        <v>719.58579141268353</v>
      </c>
      <c r="S44" s="14">
        <v>680.51853023447325</v>
      </c>
      <c r="T44" s="13">
        <v>638.09828103500786</v>
      </c>
      <c r="U44" s="13">
        <v>665.48587003382579</v>
      </c>
      <c r="V44" s="13">
        <v>696.53582278278714</v>
      </c>
      <c r="W44" s="13">
        <v>700.17086617288601</v>
      </c>
      <c r="X44" s="13">
        <v>699.02039292720588</v>
      </c>
      <c r="Y44" s="13">
        <v>775.92109377452243</v>
      </c>
      <c r="Z44" s="13">
        <v>820.18226424662612</v>
      </c>
      <c r="AA44" s="13">
        <v>787.02610367228669</v>
      </c>
      <c r="AB44" s="13">
        <v>685.49596309359401</v>
      </c>
      <c r="AC44" s="13">
        <v>744.53631821149702</v>
      </c>
      <c r="AD44" s="13">
        <v>653.30954527368033</v>
      </c>
      <c r="AE44" s="13">
        <v>630.44687417381192</v>
      </c>
      <c r="AF44" s="13">
        <v>638.31830259307151</v>
      </c>
      <c r="AG44" s="17">
        <v>653.36685236808319</v>
      </c>
      <c r="AH44" s="17">
        <v>691.75151646649977</v>
      </c>
      <c r="AI44" s="17">
        <v>662.22765664927601</v>
      </c>
      <c r="AJ44" s="17">
        <v>562.84304399717143</v>
      </c>
      <c r="AK44" s="17">
        <v>726.1226659525654</v>
      </c>
      <c r="AL44" s="17">
        <v>733.8057133879397</v>
      </c>
      <c r="AM44" s="17">
        <v>699.66062491969797</v>
      </c>
      <c r="AN44" s="17">
        <v>589.21316101232776</v>
      </c>
      <c r="AO44" s="17">
        <v>734.06610140666419</v>
      </c>
      <c r="AP44" s="17">
        <v>701.05416133341487</v>
      </c>
      <c r="AQ44" s="17">
        <v>622.08753412330725</v>
      </c>
      <c r="AR44" s="17">
        <v>603.98276028274688</v>
      </c>
      <c r="AS44" s="17">
        <v>663.9873896977092</v>
      </c>
      <c r="AT44" s="17">
        <v>684.1583821217713</v>
      </c>
      <c r="AU44" s="17">
        <v>701.87718255615948</v>
      </c>
      <c r="AV44" s="17">
        <v>553.07768126319559</v>
      </c>
      <c r="AW44" s="17">
        <v>688.48986679132463</v>
      </c>
      <c r="AX44" s="41">
        <f t="shared" si="21"/>
        <v>794.52167411953883</v>
      </c>
      <c r="AY44" s="41">
        <f t="shared" si="22"/>
        <v>847.53757778364593</v>
      </c>
      <c r="AZ44" s="41">
        <f t="shared" si="23"/>
        <v>874.04552961569948</v>
      </c>
      <c r="BA44" s="17">
        <v>900.55348144775303</v>
      </c>
      <c r="BB44" s="17">
        <v>793.40608834374314</v>
      </c>
      <c r="BC44" s="17">
        <v>797.20733018681653</v>
      </c>
      <c r="BD44" s="17">
        <v>692.52867672152036</v>
      </c>
      <c r="BE44" s="17">
        <v>856.3515910000001</v>
      </c>
      <c r="BF44" s="17">
        <v>874.30821660000004</v>
      </c>
      <c r="BG44" s="17">
        <v>817.17585000000008</v>
      </c>
      <c r="BH44" s="17">
        <v>780.54516999999987</v>
      </c>
      <c r="BI44" s="17">
        <v>909.74114770000028</v>
      </c>
      <c r="BJ44" s="17">
        <v>992.61623340000006</v>
      </c>
      <c r="BK44" s="17">
        <v>982.73433060000013</v>
      </c>
      <c r="BL44" s="17">
        <v>948.65</v>
      </c>
      <c r="BM44" s="17">
        <v>1091.3389999999999</v>
      </c>
      <c r="BN44" s="17">
        <v>1021.0600140053083</v>
      </c>
      <c r="BO44" s="17">
        <v>1081.0340000000001</v>
      </c>
      <c r="BP44" s="17">
        <v>923.88</v>
      </c>
      <c r="BQ44" s="17">
        <v>563.57600000000002</v>
      </c>
      <c r="BR44" s="17">
        <v>800.21100000000001</v>
      </c>
      <c r="BS44" s="17">
        <v>958.87599999999998</v>
      </c>
      <c r="BT44" s="17">
        <v>836.32399999999996</v>
      </c>
      <c r="BU44" s="17">
        <v>901.19299999999998</v>
      </c>
      <c r="BV44" s="17">
        <v>932.68299999999999</v>
      </c>
      <c r="BW44" s="17">
        <v>901.89599999999996</v>
      </c>
      <c r="BX44" s="17">
        <v>785.63499999999999</v>
      </c>
      <c r="BY44" s="17">
        <v>931.85199999999998</v>
      </c>
      <c r="BZ44" s="17">
        <v>940.06</v>
      </c>
      <c r="CA44" s="17">
        <v>870.36400000000003</v>
      </c>
      <c r="CB44" s="17">
        <v>757.17600000000004</v>
      </c>
      <c r="CC44" s="17">
        <v>879.99699999999996</v>
      </c>
      <c r="CD44" s="17">
        <v>856.26300000000003</v>
      </c>
      <c r="CE44" s="17">
        <v>896.976</v>
      </c>
      <c r="CF44" s="17">
        <v>834.68200000000002</v>
      </c>
      <c r="CG44" s="17">
        <v>990.19500000000005</v>
      </c>
      <c r="CH44" s="17">
        <v>934.92600000000004</v>
      </c>
      <c r="CI44" s="17">
        <v>928.85400000000004</v>
      </c>
      <c r="CJ44" s="17">
        <v>850.21500000000003</v>
      </c>
    </row>
    <row r="45" spans="1:88" ht="20.149999999999999" customHeight="1" x14ac:dyDescent="0.25">
      <c r="A45" s="12" t="s">
        <v>26</v>
      </c>
      <c r="B45" s="13">
        <v>20.044970419985241</v>
      </c>
      <c r="C45" s="13">
        <v>12.926486412279651</v>
      </c>
      <c r="D45" s="13">
        <v>41.337480038134018</v>
      </c>
      <c r="E45" s="13">
        <v>15.592381403593606</v>
      </c>
      <c r="F45" s="13">
        <v>18.893379481303459</v>
      </c>
      <c r="G45" s="13">
        <v>9.7672647489629973</v>
      </c>
      <c r="H45" s="13">
        <v>10.832593918311458</v>
      </c>
      <c r="I45" s="13">
        <v>8.0979984266514489</v>
      </c>
      <c r="J45" s="13">
        <v>9.9652971926501301</v>
      </c>
      <c r="K45" s="13">
        <v>12.000861779157606</v>
      </c>
      <c r="L45" s="13">
        <v>9.3167147308048754</v>
      </c>
      <c r="M45" s="13">
        <v>11.154233057533542</v>
      </c>
      <c r="N45" s="13">
        <v>7.8086281631702015</v>
      </c>
      <c r="O45" s="13">
        <v>9.7885628654947716</v>
      </c>
      <c r="P45" s="13">
        <v>8.4184773409424718</v>
      </c>
      <c r="Q45" s="13">
        <v>4.282337572555857</v>
      </c>
      <c r="R45" s="41">
        <f t="shared" si="20"/>
        <v>8.8788956668285302</v>
      </c>
      <c r="S45" s="14">
        <v>13.475453761101205</v>
      </c>
      <c r="T45" s="13">
        <v>5.0598718887808545</v>
      </c>
      <c r="U45" s="13">
        <v>4.4901264202624898</v>
      </c>
      <c r="V45" s="13">
        <v>1.1389522057823118</v>
      </c>
      <c r="W45" s="13">
        <v>6.1219217122645464</v>
      </c>
      <c r="X45" s="13">
        <v>3.8358560487315607</v>
      </c>
      <c r="Y45" s="13">
        <v>5.2441348603857465</v>
      </c>
      <c r="Z45" s="13">
        <v>7.2557091258087425</v>
      </c>
      <c r="AA45" s="13">
        <v>5.1356963421357698</v>
      </c>
      <c r="AB45" s="13">
        <v>11.112398633325189</v>
      </c>
      <c r="AC45" s="13">
        <v>6.006326926331333</v>
      </c>
      <c r="AD45" s="13">
        <v>5.9818968977204543</v>
      </c>
      <c r="AE45" s="13">
        <v>10.743541424934358</v>
      </c>
      <c r="AF45" s="13">
        <v>1.9844675320794514</v>
      </c>
      <c r="AG45" s="17">
        <v>3.0685570827497424</v>
      </c>
      <c r="AH45" s="17">
        <v>5.7938096784028321</v>
      </c>
      <c r="AI45" s="17">
        <v>7.3366029483118549</v>
      </c>
      <c r="AJ45" s="17">
        <v>3.8861985864923287</v>
      </c>
      <c r="AK45" s="17">
        <v>6.2844795258839357</v>
      </c>
      <c r="AL45" s="17">
        <v>2.1414603603622751</v>
      </c>
      <c r="AM45" s="17">
        <v>3.7422705773073401</v>
      </c>
      <c r="AN45" s="17">
        <v>2.8810061735180308</v>
      </c>
      <c r="AO45" s="17">
        <v>1.1093927660301839</v>
      </c>
      <c r="AP45" s="17">
        <v>5.6165991363797483</v>
      </c>
      <c r="AQ45" s="17">
        <v>4.9723048653706607</v>
      </c>
      <c r="AR45" s="17">
        <v>6.0849141305287811</v>
      </c>
      <c r="AS45" s="17">
        <v>3.3542607815683754</v>
      </c>
      <c r="AT45" s="17">
        <v>7.3656877717093199</v>
      </c>
      <c r="AU45" s="17">
        <v>3.6434982979023203</v>
      </c>
      <c r="AV45" s="17">
        <v>2.3668714418522456</v>
      </c>
      <c r="AW45" s="17">
        <v>6.1008321020461445</v>
      </c>
      <c r="AX45" s="41">
        <f t="shared" si="21"/>
        <v>6.0187877538222363</v>
      </c>
      <c r="AY45" s="41">
        <f t="shared" si="22"/>
        <v>5.9777655797102822</v>
      </c>
      <c r="AZ45" s="41">
        <f t="shared" si="23"/>
        <v>5.9572544926543056</v>
      </c>
      <c r="BA45" s="17">
        <v>5.9367434055983281</v>
      </c>
      <c r="BB45" s="17">
        <v>10.365226271457086</v>
      </c>
      <c r="BC45" s="17">
        <v>7.0971495028278389</v>
      </c>
      <c r="BD45" s="17">
        <v>10.53068984376679</v>
      </c>
      <c r="BE45" s="17">
        <v>9.1726159999999997</v>
      </c>
      <c r="BF45" s="17">
        <v>13.353522000000003</v>
      </c>
      <c r="BG45" s="17">
        <v>3.2461400000000005</v>
      </c>
      <c r="BH45" s="17">
        <v>7.4649099999999997</v>
      </c>
      <c r="BI45" s="17">
        <v>6.3795383000000001</v>
      </c>
      <c r="BJ45" s="17">
        <v>7.2655110000000009</v>
      </c>
      <c r="BK45" s="17">
        <v>4.0654548000000004</v>
      </c>
      <c r="BL45" s="17">
        <v>8.9559999999999995</v>
      </c>
      <c r="BM45" s="17">
        <v>9.0960000000000001</v>
      </c>
      <c r="BN45" s="17">
        <v>10.038515649106756</v>
      </c>
      <c r="BO45" s="17">
        <v>13.625</v>
      </c>
      <c r="BP45" s="17">
        <v>7.4690000000000003</v>
      </c>
      <c r="BQ45" s="17">
        <v>6.8840000000000003</v>
      </c>
      <c r="BR45" s="17">
        <v>4.9269999999999996</v>
      </c>
      <c r="BS45" s="17">
        <v>5.016</v>
      </c>
      <c r="BT45" s="17">
        <v>6.8570000000000002</v>
      </c>
      <c r="BU45" s="17">
        <v>11.519</v>
      </c>
      <c r="BV45" s="17">
        <v>7.3449999999999998</v>
      </c>
      <c r="BW45" s="17">
        <v>12.74</v>
      </c>
      <c r="BX45" s="17">
        <v>8.3640000000000008</v>
      </c>
      <c r="BY45" s="17">
        <v>4.5540000000000003</v>
      </c>
      <c r="BZ45" s="17">
        <v>12.302</v>
      </c>
      <c r="CA45" s="17">
        <v>10.644</v>
      </c>
      <c r="CB45" s="17">
        <v>7.1040000000000001</v>
      </c>
      <c r="CC45" s="17">
        <v>7.258</v>
      </c>
      <c r="CD45" s="17">
        <v>2.7919999999999998</v>
      </c>
      <c r="CE45" s="17">
        <v>0.53800000000000003</v>
      </c>
      <c r="CF45" s="17">
        <v>2.9940000000000002</v>
      </c>
      <c r="CG45" s="17">
        <v>5.0549999999999997</v>
      </c>
      <c r="CH45" s="17">
        <v>5.0030000000000001</v>
      </c>
      <c r="CI45" s="17">
        <v>9.2729999999999997</v>
      </c>
      <c r="CJ45" s="17">
        <v>7.0510000000000002</v>
      </c>
    </row>
    <row r="46" spans="1:88" ht="20.149999999999999" customHeight="1" thickBot="1" x14ac:dyDescent="0.35">
      <c r="A46" s="15" t="s">
        <v>39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6"/>
      <c r="Z46" s="16"/>
      <c r="AA46" s="16"/>
      <c r="AB46" s="16"/>
      <c r="AC46" s="16"/>
      <c r="AD46" s="16"/>
      <c r="AE46" s="16"/>
      <c r="AF46" s="16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34"/>
      <c r="AY46" s="34"/>
      <c r="AZ46" s="34"/>
      <c r="BA46" s="31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</row>
    <row r="47" spans="1:88" ht="20.149999999999999" customHeight="1" x14ac:dyDescent="0.25">
      <c r="A47" s="12" t="s">
        <v>40</v>
      </c>
      <c r="B47" s="13">
        <v>78.833463817454927</v>
      </c>
      <c r="C47" s="13">
        <v>73.983485153134467</v>
      </c>
      <c r="D47" s="13">
        <v>83.779159152936629</v>
      </c>
      <c r="E47" s="13">
        <v>70.575117987043498</v>
      </c>
      <c r="F47" s="13">
        <v>83.073014904157532</v>
      </c>
      <c r="G47" s="13">
        <v>66.91016936287312</v>
      </c>
      <c r="H47" s="13">
        <v>57.345420016261698</v>
      </c>
      <c r="I47" s="13">
        <v>60.461241532587344</v>
      </c>
      <c r="J47" s="13">
        <v>47.182827412689882</v>
      </c>
      <c r="K47" s="13">
        <v>49.040918002432399</v>
      </c>
      <c r="L47" s="13">
        <v>47.950650897413873</v>
      </c>
      <c r="M47" s="13">
        <v>53.48845282496535</v>
      </c>
      <c r="N47" s="13">
        <v>48.613934461518774</v>
      </c>
      <c r="O47" s="13">
        <v>47.15967356162686</v>
      </c>
      <c r="P47" s="13">
        <v>41.680569363635001</v>
      </c>
      <c r="Q47" s="13">
        <v>43.306507735931817</v>
      </c>
      <c r="R47" s="41">
        <f t="shared" ref="R47:R50" si="24">+(Q47+S47)/2</f>
        <v>44.448839062824106</v>
      </c>
      <c r="S47" s="14">
        <v>45.591170389716389</v>
      </c>
      <c r="T47" s="13">
        <v>32.105075190679578</v>
      </c>
      <c r="U47" s="13">
        <v>34.317199268798184</v>
      </c>
      <c r="V47" s="13">
        <v>37.662113104670667</v>
      </c>
      <c r="W47" s="13">
        <v>43.069735739446493</v>
      </c>
      <c r="X47" s="13">
        <v>48.900294887093132</v>
      </c>
      <c r="Y47" s="13">
        <v>58.088878453503646</v>
      </c>
      <c r="Z47" s="13">
        <v>56.608019860997949</v>
      </c>
      <c r="AA47" s="13">
        <v>46.714770001923519</v>
      </c>
      <c r="AB47" s="13">
        <v>40.176863861155368</v>
      </c>
      <c r="AC47" s="13">
        <v>41.594176449267486</v>
      </c>
      <c r="AD47" s="13">
        <v>37.632739455404753</v>
      </c>
      <c r="AE47" s="13">
        <v>53.422151691163052</v>
      </c>
      <c r="AF47" s="13">
        <v>43.274804997063391</v>
      </c>
      <c r="AG47" s="17">
        <v>47.996825870006411</v>
      </c>
      <c r="AH47" s="17">
        <v>46.042388194639791</v>
      </c>
      <c r="AI47" s="17">
        <v>50.862124489246746</v>
      </c>
      <c r="AJ47" s="17">
        <v>39.737105413124489</v>
      </c>
      <c r="AK47" s="17">
        <v>54.480611822879865</v>
      </c>
      <c r="AL47" s="17">
        <v>37.021831235110866</v>
      </c>
      <c r="AM47" s="17">
        <v>48.229559409010704</v>
      </c>
      <c r="AN47" s="17">
        <v>50.427912064367817</v>
      </c>
      <c r="AO47" s="17">
        <v>52.112904365119313</v>
      </c>
      <c r="AP47" s="17">
        <v>34.335246266276656</v>
      </c>
      <c r="AQ47" s="17">
        <v>33.262654114732484</v>
      </c>
      <c r="AR47" s="17">
        <v>35.7681667108399</v>
      </c>
      <c r="AS47" s="17">
        <v>52.358788380922363</v>
      </c>
      <c r="AT47" s="17">
        <v>40.227148724753313</v>
      </c>
      <c r="AU47" s="17">
        <v>57.665555092919</v>
      </c>
      <c r="AV47" s="17">
        <v>47.209204408662757</v>
      </c>
      <c r="AW47" s="17">
        <v>41.540328478186176</v>
      </c>
      <c r="AX47" s="41">
        <f t="shared" ref="AX47:AX50" si="25">+(AW47+BA47)/2</f>
        <v>58.963886962458446</v>
      </c>
      <c r="AY47" s="41">
        <f t="shared" ref="AY47:AY50" si="26">+(AX47+BA47)/2</f>
        <v>67.675666204594592</v>
      </c>
      <c r="AZ47" s="41">
        <f t="shared" ref="AZ47:AZ50" si="27">+(AY47+BA47)/2</f>
        <v>72.03155582566265</v>
      </c>
      <c r="BA47" s="27">
        <v>76.387445446730723</v>
      </c>
      <c r="BB47" s="17">
        <v>57.285068882976049</v>
      </c>
      <c r="BC47" s="17">
        <v>61.112165644684659</v>
      </c>
      <c r="BD47" s="17">
        <v>57.700682885770931</v>
      </c>
      <c r="BE47" s="17">
        <v>57.46917687895769</v>
      </c>
      <c r="BF47" s="17">
        <v>64.6921559321042</v>
      </c>
      <c r="BG47" s="17">
        <v>58.46058072802996</v>
      </c>
      <c r="BH47" s="17">
        <v>56.670419004009347</v>
      </c>
      <c r="BI47" s="17">
        <v>59.951924744439999</v>
      </c>
      <c r="BJ47" s="17">
        <v>61.592747618439333</v>
      </c>
      <c r="BK47" s="17">
        <v>67.635684585810964</v>
      </c>
      <c r="BL47" s="17">
        <v>49.497947675498693</v>
      </c>
      <c r="BM47" s="17">
        <v>87.004323138623405</v>
      </c>
      <c r="BN47" s="17">
        <v>98.241011217660784</v>
      </c>
      <c r="BO47" s="17">
        <v>95.510656104236134</v>
      </c>
      <c r="BP47" s="17">
        <v>68.086616128284035</v>
      </c>
      <c r="BQ47" s="17">
        <v>61.146261304967815</v>
      </c>
      <c r="BR47" s="17">
        <v>93.988094075335525</v>
      </c>
      <c r="BS47" s="17">
        <v>83.79773805899417</v>
      </c>
      <c r="BT47" s="17">
        <v>98.885033806807428</v>
      </c>
      <c r="BU47" s="17">
        <v>73.130171201464094</v>
      </c>
      <c r="BV47" s="17">
        <v>79.007283426534784</v>
      </c>
      <c r="BW47" s="17">
        <v>100.50013099015888</v>
      </c>
      <c r="BX47" s="17">
        <v>66.573976548557511</v>
      </c>
      <c r="BY47" s="17">
        <v>54.417978121857175</v>
      </c>
      <c r="BZ47" s="17">
        <v>58.20448057289056</v>
      </c>
      <c r="CA47" s="17">
        <v>78.940687374871075</v>
      </c>
      <c r="CB47" s="17">
        <v>51.039487012839963</v>
      </c>
      <c r="CC47" s="17">
        <v>62.262054379030893</v>
      </c>
      <c r="CD47" s="17">
        <v>72.363234551733655</v>
      </c>
      <c r="CE47" s="17">
        <v>64.462965259572627</v>
      </c>
      <c r="CF47" s="17">
        <v>69.354194795206297</v>
      </c>
      <c r="CG47" s="17">
        <v>79.115333828838658</v>
      </c>
      <c r="CH47" s="17">
        <v>64.920678051082405</v>
      </c>
      <c r="CI47" s="17">
        <v>98.412126919963214</v>
      </c>
      <c r="CJ47" s="17">
        <v>55.847169111564277</v>
      </c>
    </row>
    <row r="48" spans="1:88" ht="20.149999999999999" customHeight="1" x14ac:dyDescent="0.25">
      <c r="A48" s="12" t="s">
        <v>41</v>
      </c>
      <c r="B48" s="13">
        <v>259.12073285169731</v>
      </c>
      <c r="C48" s="13">
        <v>253.31263179663455</v>
      </c>
      <c r="D48" s="13">
        <v>83.779159152936629</v>
      </c>
      <c r="E48" s="13">
        <v>233.39470787766493</v>
      </c>
      <c r="F48" s="13">
        <v>206.81764618872009</v>
      </c>
      <c r="G48" s="13">
        <v>189.27087382488597</v>
      </c>
      <c r="H48" s="13">
        <v>169.57766414139644</v>
      </c>
      <c r="I48" s="13">
        <v>209.99433710161011</v>
      </c>
      <c r="J48" s="13">
        <v>198.42486956609238</v>
      </c>
      <c r="K48" s="13">
        <v>187.2113844592626</v>
      </c>
      <c r="L48" s="13">
        <v>142.15466619991503</v>
      </c>
      <c r="M48" s="13">
        <v>214.08603846990565</v>
      </c>
      <c r="N48" s="13">
        <v>165.97527586743388</v>
      </c>
      <c r="O48" s="13">
        <v>139.88805050639087</v>
      </c>
      <c r="P48" s="13">
        <v>140.95182079631115</v>
      </c>
      <c r="Q48" s="13">
        <v>188.98086015051263</v>
      </c>
      <c r="R48" s="41">
        <f t="shared" si="24"/>
        <v>176.20649785411717</v>
      </c>
      <c r="S48" s="14">
        <v>163.43213555772169</v>
      </c>
      <c r="T48" s="13">
        <v>132.21839807517804</v>
      </c>
      <c r="U48" s="13">
        <v>171.28511985977647</v>
      </c>
      <c r="V48" s="13">
        <v>164.93976125187882</v>
      </c>
      <c r="W48" s="13">
        <v>166.14680776041305</v>
      </c>
      <c r="X48" s="13">
        <v>138.29334769694628</v>
      </c>
      <c r="Y48" s="13">
        <v>191.57391027852842</v>
      </c>
      <c r="Z48" s="13">
        <v>188.7565622122417</v>
      </c>
      <c r="AA48" s="13">
        <v>195.135250292829</v>
      </c>
      <c r="AB48" s="13">
        <v>166.92641078697659</v>
      </c>
      <c r="AC48" s="13">
        <v>204.58024170044104</v>
      </c>
      <c r="AD48" s="13">
        <v>161.64909502984588</v>
      </c>
      <c r="AE48" s="13">
        <v>166.48258567909321</v>
      </c>
      <c r="AF48" s="13">
        <v>133.83759314649132</v>
      </c>
      <c r="AG48" s="17">
        <v>192.9489829132429</v>
      </c>
      <c r="AH48" s="17">
        <v>162.18348708968944</v>
      </c>
      <c r="AI48" s="17">
        <v>184.33751415326245</v>
      </c>
      <c r="AJ48" s="17">
        <v>125.11217344735351</v>
      </c>
      <c r="AK48" s="17">
        <v>200.79540512157658</v>
      </c>
      <c r="AL48" s="17">
        <v>178.15828261394884</v>
      </c>
      <c r="AM48" s="17">
        <v>204.98723129811503</v>
      </c>
      <c r="AN48" s="17">
        <v>139.03018633062979</v>
      </c>
      <c r="AO48" s="17">
        <v>188.65517253938265</v>
      </c>
      <c r="AP48" s="17">
        <v>179.39452666120764</v>
      </c>
      <c r="AQ48" s="17">
        <v>151.52252045541127</v>
      </c>
      <c r="AR48" s="17">
        <v>151.43684038980803</v>
      </c>
      <c r="AS48" s="17">
        <v>204.98219102925196</v>
      </c>
      <c r="AT48" s="17">
        <v>188.87027800145114</v>
      </c>
      <c r="AU48" s="17">
        <v>204.33210706071392</v>
      </c>
      <c r="AV48" s="17">
        <v>136.936958318395</v>
      </c>
      <c r="AW48" s="17">
        <v>177.71414516063709</v>
      </c>
      <c r="AX48" s="41">
        <f t="shared" si="25"/>
        <v>199.00038884033336</v>
      </c>
      <c r="AY48" s="41">
        <f t="shared" si="26"/>
        <v>209.64351068018146</v>
      </c>
      <c r="AZ48" s="41">
        <f t="shared" si="27"/>
        <v>214.96507160010555</v>
      </c>
      <c r="BA48" s="27">
        <v>220.2866325200296</v>
      </c>
      <c r="BB48" s="17">
        <v>242.2879354312191</v>
      </c>
      <c r="BC48" s="17">
        <v>197.33250929610867</v>
      </c>
      <c r="BD48" s="17">
        <v>189.90598183170599</v>
      </c>
      <c r="BE48" s="17">
        <v>242.56229627536621</v>
      </c>
      <c r="BF48" s="17">
        <v>217.07265457419595</v>
      </c>
      <c r="BG48" s="17">
        <v>212.40380062264714</v>
      </c>
      <c r="BH48" s="17">
        <v>212.07160349142811</v>
      </c>
      <c r="BI48" s="17">
        <v>251.1228309886354</v>
      </c>
      <c r="BJ48" s="17">
        <v>246.4977245223549</v>
      </c>
      <c r="BK48" s="17">
        <v>239.99949315694678</v>
      </c>
      <c r="BL48" s="17">
        <v>203.56916619191009</v>
      </c>
      <c r="BM48" s="17">
        <v>294.69563959039402</v>
      </c>
      <c r="BN48" s="17">
        <v>280.3048426472522</v>
      </c>
      <c r="BO48" s="17">
        <v>313.88042745888333</v>
      </c>
      <c r="BP48" s="17">
        <v>236.57268614216275</v>
      </c>
      <c r="BQ48" s="17">
        <v>148.30004973901023</v>
      </c>
      <c r="BR48" s="17">
        <v>236.72286147854243</v>
      </c>
      <c r="BS48" s="17">
        <v>212.96879259721237</v>
      </c>
      <c r="BT48" s="17">
        <v>216.84480728195163</v>
      </c>
      <c r="BU48" s="17">
        <v>294.93906355717826</v>
      </c>
      <c r="BV48" s="17">
        <v>270.19149224971335</v>
      </c>
      <c r="BW48" s="17">
        <v>286.15248575547889</v>
      </c>
      <c r="BX48" s="17">
        <v>224.23133248583363</v>
      </c>
      <c r="BY48" s="17">
        <v>251.85434821417559</v>
      </c>
      <c r="BZ48" s="17">
        <v>221.03886306120373</v>
      </c>
      <c r="CA48" s="17">
        <v>275.28688755080992</v>
      </c>
      <c r="CB48" s="17">
        <v>198.23678419197296</v>
      </c>
      <c r="CC48" s="17">
        <v>249.49662950187141</v>
      </c>
      <c r="CD48" s="17">
        <v>238.6210156602699</v>
      </c>
      <c r="CE48" s="17">
        <v>239.49797534550314</v>
      </c>
      <c r="CF48" s="17">
        <v>184.58910428728336</v>
      </c>
      <c r="CG48" s="17">
        <v>263.93580562649248</v>
      </c>
      <c r="CH48" s="17">
        <v>274.0375570105586</v>
      </c>
      <c r="CI48" s="17">
        <v>257.51526150999604</v>
      </c>
      <c r="CJ48" s="17">
        <v>205.80686030049057</v>
      </c>
    </row>
    <row r="49" spans="1:88" ht="20.149999999999999" customHeight="1" x14ac:dyDescent="0.25">
      <c r="A49" s="12" t="s">
        <v>42</v>
      </c>
      <c r="B49" s="13">
        <v>775.86762391054742</v>
      </c>
      <c r="C49" s="13">
        <v>761.87782382313435</v>
      </c>
      <c r="D49" s="13">
        <v>208.57565499062383</v>
      </c>
      <c r="E49" s="13">
        <v>727.30850009027733</v>
      </c>
      <c r="F49" s="13">
        <v>744.50086303775038</v>
      </c>
      <c r="G49" s="13">
        <v>675.65778920260857</v>
      </c>
      <c r="H49" s="13">
        <v>583.11063217491426</v>
      </c>
      <c r="I49" s="13">
        <v>596.75343451171398</v>
      </c>
      <c r="J49" s="13">
        <v>582.65814633670618</v>
      </c>
      <c r="K49" s="13">
        <v>550.61485023500461</v>
      </c>
      <c r="L49" s="13">
        <v>511.60214526649611</v>
      </c>
      <c r="M49" s="13">
        <v>581.66629600795443</v>
      </c>
      <c r="N49" s="13">
        <v>505.43063659298167</v>
      </c>
      <c r="O49" s="13">
        <v>478.20436954892796</v>
      </c>
      <c r="P49" s="13">
        <v>389.09959429143572</v>
      </c>
      <c r="Q49" s="13">
        <v>486.45520324775151</v>
      </c>
      <c r="R49" s="41">
        <f t="shared" si="24"/>
        <v>435.85126075774593</v>
      </c>
      <c r="S49" s="14">
        <v>385.24731826774035</v>
      </c>
      <c r="T49" s="13">
        <v>389.11909285388231</v>
      </c>
      <c r="U49" s="13">
        <v>408.14098378612778</v>
      </c>
      <c r="V49" s="13">
        <v>405.23933464146836</v>
      </c>
      <c r="W49" s="13">
        <v>460.71463841798669</v>
      </c>
      <c r="X49" s="13">
        <v>432.89910155270996</v>
      </c>
      <c r="Y49" s="13">
        <v>491.77720152866038</v>
      </c>
      <c r="Z49" s="13">
        <v>523.31702973539336</v>
      </c>
      <c r="AA49" s="13">
        <v>494.52752687820634</v>
      </c>
      <c r="AB49" s="13">
        <v>435.25429904222636</v>
      </c>
      <c r="AC49" s="13">
        <v>457.34461632453656</v>
      </c>
      <c r="AD49" s="13">
        <v>425.33768761037527</v>
      </c>
      <c r="AE49" s="13">
        <v>371.19165226467004</v>
      </c>
      <c r="AF49" s="13">
        <v>417.10578768492428</v>
      </c>
      <c r="AG49" s="17">
        <v>390.00714617652289</v>
      </c>
      <c r="AH49" s="17">
        <v>443.88548161228266</v>
      </c>
      <c r="AI49" s="17">
        <v>411.90163897932877</v>
      </c>
      <c r="AJ49" s="17">
        <v>397.2341361255468</v>
      </c>
      <c r="AK49" s="17">
        <v>415.3486662361247</v>
      </c>
      <c r="AL49" s="17">
        <v>434.94052444350615</v>
      </c>
      <c r="AM49" s="17">
        <v>450.0927010789494</v>
      </c>
      <c r="AN49" s="17">
        <v>415.05963511205954</v>
      </c>
      <c r="AO49" s="17">
        <v>565.4635163744623</v>
      </c>
      <c r="AP49" s="17">
        <v>523.30745503522348</v>
      </c>
      <c r="AQ49" s="17">
        <v>396.24904893052371</v>
      </c>
      <c r="AR49" s="17">
        <v>442.63182140377137</v>
      </c>
      <c r="AS49" s="17">
        <v>510.80964250880163</v>
      </c>
      <c r="AT49" s="17">
        <v>510.56784885102201</v>
      </c>
      <c r="AU49" s="17">
        <v>464.54802468450754</v>
      </c>
      <c r="AV49" s="17">
        <v>425.09500006070908</v>
      </c>
      <c r="AW49" s="17">
        <v>496.77675008650448</v>
      </c>
      <c r="AX49" s="41">
        <f t="shared" si="25"/>
        <v>558.08485132902877</v>
      </c>
      <c r="AY49" s="41">
        <f t="shared" si="26"/>
        <v>588.73890195029094</v>
      </c>
      <c r="AZ49" s="41">
        <f t="shared" si="27"/>
        <v>604.06592726092197</v>
      </c>
      <c r="BA49" s="27">
        <v>619.392952571553</v>
      </c>
      <c r="BB49" s="17">
        <v>526.92041713255651</v>
      </c>
      <c r="BC49" s="17">
        <v>563.61376501819723</v>
      </c>
      <c r="BD49" s="17">
        <v>603.10431797894398</v>
      </c>
      <c r="BE49" s="17">
        <v>649.27832293496033</v>
      </c>
      <c r="BF49" s="17">
        <v>603.72362820206763</v>
      </c>
      <c r="BG49" s="17">
        <v>593.92955058824805</v>
      </c>
      <c r="BH49" s="17">
        <v>553.52769278198082</v>
      </c>
      <c r="BI49" s="17">
        <v>648.5644181265659</v>
      </c>
      <c r="BJ49" s="17">
        <v>652.69859998069887</v>
      </c>
      <c r="BK49" s="17">
        <v>708.53230481959497</v>
      </c>
      <c r="BL49" s="17">
        <v>752.82777409260848</v>
      </c>
      <c r="BM49" s="17">
        <v>822.83708507519225</v>
      </c>
      <c r="BN49" s="17">
        <v>792.65007030924642</v>
      </c>
      <c r="BO49" s="17">
        <v>750.67622618170196</v>
      </c>
      <c r="BP49" s="17">
        <v>722.54827406574907</v>
      </c>
      <c r="BQ49" s="17">
        <v>586.76111673999196</v>
      </c>
      <c r="BR49" s="17">
        <v>879.02730949973522</v>
      </c>
      <c r="BS49" s="17">
        <v>1012.0876962854762</v>
      </c>
      <c r="BT49" s="17">
        <v>804.05362520728943</v>
      </c>
      <c r="BU49" s="17">
        <v>813.90311560948078</v>
      </c>
      <c r="BV49" s="17">
        <v>769.44885378287506</v>
      </c>
      <c r="BW49" s="17">
        <v>779.67126444289352</v>
      </c>
      <c r="BX49" s="17">
        <v>655.46998049269064</v>
      </c>
      <c r="BY49" s="17">
        <v>761.37903722991564</v>
      </c>
      <c r="BZ49" s="17">
        <v>744.73740510713856</v>
      </c>
      <c r="CA49" s="17">
        <v>757.1752610265122</v>
      </c>
      <c r="CB49" s="17">
        <v>674.10946863229094</v>
      </c>
      <c r="CC49" s="17">
        <v>734.95627306998915</v>
      </c>
      <c r="CD49" s="17">
        <v>738.83845907477689</v>
      </c>
      <c r="CE49" s="17">
        <v>772.97563878960841</v>
      </c>
      <c r="CF49" s="17">
        <v>762.99864702717446</v>
      </c>
      <c r="CG49" s="17">
        <v>910.21174226301025</v>
      </c>
      <c r="CH49" s="17">
        <v>784.92203161682289</v>
      </c>
      <c r="CI49" s="17">
        <v>860.91466972230239</v>
      </c>
      <c r="CJ49" s="17">
        <v>732.67622895882448</v>
      </c>
    </row>
    <row r="50" spans="1:88" ht="20.149999999999999" customHeight="1" x14ac:dyDescent="0.25">
      <c r="A50" s="12" t="s">
        <v>43</v>
      </c>
      <c r="B50" s="13">
        <v>665.56353243802846</v>
      </c>
      <c r="C50" s="13">
        <v>659.22480747668533</v>
      </c>
      <c r="D50" s="13">
        <v>750.82933207491851</v>
      </c>
      <c r="E50" s="13">
        <v>626.29077124756486</v>
      </c>
      <c r="F50" s="13">
        <v>619.14978883923152</v>
      </c>
      <c r="G50" s="13">
        <v>620.13269498571015</v>
      </c>
      <c r="H50" s="13">
        <v>552.58579355269001</v>
      </c>
      <c r="I50" s="13">
        <v>528.69878728995832</v>
      </c>
      <c r="J50" s="13">
        <v>618.02659592329974</v>
      </c>
      <c r="K50" s="13">
        <v>529.250226238707</v>
      </c>
      <c r="L50" s="13">
        <v>523.40418330498187</v>
      </c>
      <c r="M50" s="13">
        <v>515.91864199128702</v>
      </c>
      <c r="N50" s="13">
        <v>506.52557235169189</v>
      </c>
      <c r="O50" s="13">
        <v>545.29617871608332</v>
      </c>
      <c r="P50" s="13">
        <v>479.75101297561565</v>
      </c>
      <c r="Q50" s="13">
        <v>414.03796647463633</v>
      </c>
      <c r="R50" s="41">
        <f t="shared" si="24"/>
        <v>420.84266855067108</v>
      </c>
      <c r="S50" s="14">
        <v>427.64737062670588</v>
      </c>
      <c r="T50" s="13">
        <v>380.84252037840685</v>
      </c>
      <c r="U50" s="13">
        <v>368.91624510588571</v>
      </c>
      <c r="V50" s="13">
        <v>453.12274311467365</v>
      </c>
      <c r="W50" s="13">
        <v>380.0792018235997</v>
      </c>
      <c r="X50" s="13">
        <v>430.43006818199558</v>
      </c>
      <c r="Y50" s="13">
        <v>478.73205952747549</v>
      </c>
      <c r="Z50" s="13">
        <v>455.88476103476137</v>
      </c>
      <c r="AA50" s="13">
        <v>464.71407408402416</v>
      </c>
      <c r="AB50" s="13">
        <v>433.64947328819983</v>
      </c>
      <c r="AC50" s="13">
        <v>451.61203968643838</v>
      </c>
      <c r="AD50" s="13">
        <v>401.82373639367421</v>
      </c>
      <c r="AE50" s="13">
        <v>385.1052653736275</v>
      </c>
      <c r="AF50" s="13">
        <v>367.82814653124836</v>
      </c>
      <c r="AG50" s="17">
        <v>375.27130556497525</v>
      </c>
      <c r="AH50" s="17">
        <v>407.32431427954259</v>
      </c>
      <c r="AI50" s="17">
        <v>371.95122645927324</v>
      </c>
      <c r="AJ50" s="17">
        <v>314.41933185200281</v>
      </c>
      <c r="AK50" s="17">
        <v>456.003996850053</v>
      </c>
      <c r="AL50" s="17">
        <v>438.07929600878225</v>
      </c>
      <c r="AM50" s="17">
        <v>388.17786623122623</v>
      </c>
      <c r="AN50" s="17">
        <v>351.83515092003785</v>
      </c>
      <c r="AO50" s="17">
        <v>381.34395094813181</v>
      </c>
      <c r="AP50" s="17">
        <v>328.08959569221349</v>
      </c>
      <c r="AQ50" s="17">
        <v>358.86976999784775</v>
      </c>
      <c r="AR50" s="17">
        <v>335.75200126272989</v>
      </c>
      <c r="AS50" s="17">
        <v>347.92782185633746</v>
      </c>
      <c r="AT50" s="17">
        <v>362.86156713701865</v>
      </c>
      <c r="AU50" s="17">
        <v>370.71215323288146</v>
      </c>
      <c r="AV50" s="17">
        <v>298.32967412070923</v>
      </c>
      <c r="AW50" s="17">
        <v>362.28909806183225</v>
      </c>
      <c r="AX50" s="41">
        <f t="shared" si="25"/>
        <v>431.75905694888041</v>
      </c>
      <c r="AY50" s="41">
        <f t="shared" si="26"/>
        <v>466.4940363924045</v>
      </c>
      <c r="AZ50" s="41">
        <f t="shared" si="27"/>
        <v>483.86152611416651</v>
      </c>
      <c r="BA50" s="27">
        <v>501.22901583592858</v>
      </c>
      <c r="BB50" s="17">
        <v>460.64863662411551</v>
      </c>
      <c r="BC50" s="17">
        <v>471.33405998905442</v>
      </c>
      <c r="BD50" s="17">
        <v>403.8180199307115</v>
      </c>
      <c r="BE50" s="17">
        <v>435.34103791071584</v>
      </c>
      <c r="BF50" s="17">
        <v>508.80410639163233</v>
      </c>
      <c r="BG50" s="17">
        <v>453.56916806107506</v>
      </c>
      <c r="BH50" s="17">
        <v>455.92265472258163</v>
      </c>
      <c r="BI50" s="17">
        <v>501.30741364035885</v>
      </c>
      <c r="BJ50" s="17">
        <v>590.86657847850711</v>
      </c>
      <c r="BK50" s="17">
        <v>555.72556983764741</v>
      </c>
      <c r="BL50" s="17">
        <v>556.52411203998281</v>
      </c>
      <c r="BM50" s="17">
        <v>570.45095219579025</v>
      </c>
      <c r="BN50" s="17">
        <v>541.31315125925164</v>
      </c>
      <c r="BO50" s="17">
        <v>594.10469025517853</v>
      </c>
      <c r="BP50" s="17">
        <v>542.04242366380424</v>
      </c>
      <c r="BQ50" s="17">
        <v>257.92257221603006</v>
      </c>
      <c r="BR50" s="17">
        <v>410.56273494638697</v>
      </c>
      <c r="BS50" s="17">
        <v>645.64977305831724</v>
      </c>
      <c r="BT50" s="17">
        <v>472.36353370395142</v>
      </c>
      <c r="BU50" s="17">
        <v>462.8466496318768</v>
      </c>
      <c r="BV50" s="17">
        <v>528.94037054087676</v>
      </c>
      <c r="BW50" s="17">
        <v>480.72111881146867</v>
      </c>
      <c r="BX50" s="17">
        <v>408.2977104729182</v>
      </c>
      <c r="BY50" s="17">
        <v>484.56963643405163</v>
      </c>
      <c r="BZ50" s="17">
        <v>510.79125125876709</v>
      </c>
      <c r="CA50" s="17">
        <v>405.81516404780683</v>
      </c>
      <c r="CB50" s="17">
        <v>409.07226016289627</v>
      </c>
      <c r="CC50" s="17">
        <v>437.31504304910851</v>
      </c>
      <c r="CD50" s="17">
        <v>416.90829071321963</v>
      </c>
      <c r="CE50" s="17">
        <v>424.62642060531596</v>
      </c>
      <c r="CF50" s="17">
        <v>426.87505389033583</v>
      </c>
      <c r="CG50" s="17">
        <v>445.84411828165861</v>
      </c>
      <c r="CH50" s="17">
        <v>508.02373332153604</v>
      </c>
      <c r="CI50" s="17">
        <v>424.52894184773834</v>
      </c>
      <c r="CJ50" s="17">
        <v>442.28674162912063</v>
      </c>
    </row>
    <row r="51" spans="1:88" ht="20.149999999999999" customHeight="1" thickBot="1" x14ac:dyDescent="0.35">
      <c r="A51" s="15" t="s">
        <v>60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6"/>
      <c r="Z51" s="16"/>
      <c r="AA51" s="16"/>
      <c r="AB51" s="16"/>
      <c r="AC51" s="16"/>
      <c r="AD51" s="16"/>
      <c r="AE51" s="16"/>
      <c r="AF51" s="16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34"/>
      <c r="AY51" s="34"/>
      <c r="AZ51" s="34"/>
      <c r="BA51" s="31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</row>
    <row r="52" spans="1:88" ht="20.149999999999999" customHeight="1" x14ac:dyDescent="0.25">
      <c r="A52" s="12" t="s">
        <v>61</v>
      </c>
      <c r="B52" s="13">
        <v>647.84926053447566</v>
      </c>
      <c r="C52" s="13">
        <v>705.9731450208352</v>
      </c>
      <c r="D52" s="13">
        <v>634.64580003657534</v>
      </c>
      <c r="E52" s="13">
        <v>594.67994781364371</v>
      </c>
      <c r="F52" s="13">
        <v>629.29659999400224</v>
      </c>
      <c r="G52" s="13">
        <v>596.1388962234065</v>
      </c>
      <c r="H52" s="13">
        <v>536.6809819093022</v>
      </c>
      <c r="I52" s="13">
        <v>538.19514089396671</v>
      </c>
      <c r="J52" s="13">
        <v>542.17777147210381</v>
      </c>
      <c r="K52" s="13">
        <v>497.30100674599345</v>
      </c>
      <c r="L52" s="13">
        <v>482.72170615727771</v>
      </c>
      <c r="M52" s="13">
        <v>476.90957679458108</v>
      </c>
      <c r="N52" s="13">
        <v>466.28477762404947</v>
      </c>
      <c r="O52" s="13">
        <v>477.25969939844515</v>
      </c>
      <c r="P52" s="13">
        <v>420.7134051136</v>
      </c>
      <c r="Q52" s="13">
        <v>424.44155387996426</v>
      </c>
      <c r="R52" s="41">
        <f t="shared" ref="R52:R56" si="28">+(Q52+S52)/2</f>
        <v>402.44642551292566</v>
      </c>
      <c r="S52" s="14">
        <v>380.451297145887</v>
      </c>
      <c r="T52" s="13">
        <v>395.26910915400168</v>
      </c>
      <c r="U52" s="13">
        <v>359.54715227610359</v>
      </c>
      <c r="V52" s="13">
        <v>420.02342437736405</v>
      </c>
      <c r="W52" s="13">
        <v>399.76189512436213</v>
      </c>
      <c r="X52" s="13">
        <v>449.26942379835799</v>
      </c>
      <c r="Y52" s="13">
        <v>459.35891330082114</v>
      </c>
      <c r="Z52" s="13">
        <v>450.19302714435952</v>
      </c>
      <c r="AA52" s="13">
        <v>459.09762640374515</v>
      </c>
      <c r="AB52" s="13">
        <v>402.7841289674983</v>
      </c>
      <c r="AC52" s="13">
        <v>446.91566862258151</v>
      </c>
      <c r="AD52" s="13">
        <v>394.6662951337758</v>
      </c>
      <c r="AE52" s="13">
        <v>354.33550866866091</v>
      </c>
      <c r="AF52" s="13">
        <v>351.25484486369601</v>
      </c>
      <c r="AG52" s="17">
        <v>382.14146961826833</v>
      </c>
      <c r="AH52" s="17">
        <v>412.76479822968673</v>
      </c>
      <c r="AI52" s="17">
        <v>336.62541717309409</v>
      </c>
      <c r="AJ52" s="17">
        <v>340.58249728004694</v>
      </c>
      <c r="AK52" s="17">
        <v>361.54676518478612</v>
      </c>
      <c r="AL52" s="17">
        <v>386.63840740467901</v>
      </c>
      <c r="AM52" s="17">
        <v>396.40096215170161</v>
      </c>
      <c r="AN52" s="17">
        <v>367.45708747107744</v>
      </c>
      <c r="AO52" s="17">
        <v>397.67654288762719</v>
      </c>
      <c r="AP52" s="17">
        <v>362.62155273206315</v>
      </c>
      <c r="AQ52" s="38">
        <v>352.39671831921294</v>
      </c>
      <c r="AR52" s="38">
        <v>358.66358030810625</v>
      </c>
      <c r="AS52" s="17">
        <v>384.67832477780644</v>
      </c>
      <c r="AT52" s="17">
        <v>390.57681494676962</v>
      </c>
      <c r="AU52" s="17">
        <v>390.59243174183581</v>
      </c>
      <c r="AV52" s="17">
        <v>317.33628274308398</v>
      </c>
      <c r="AW52" s="17">
        <v>384.90212812790975</v>
      </c>
      <c r="AX52" s="41">
        <f t="shared" ref="AX52:AX56" si="29">+(AW52+BA52)/2</f>
        <v>448.77142234000848</v>
      </c>
      <c r="AY52" s="41">
        <f t="shared" ref="AY52:AY56" si="30">+(AX52+BA52)/2</f>
        <v>480.70606944605782</v>
      </c>
      <c r="AZ52" s="41">
        <f t="shared" ref="AZ52:AZ56" si="31">+(AY52+BA52)/2</f>
        <v>496.67339299908247</v>
      </c>
      <c r="BA52" s="27">
        <v>512.64071655210716</v>
      </c>
      <c r="BB52" s="17">
        <v>535.7333221034836</v>
      </c>
      <c r="BC52" s="17">
        <v>529.08021841267828</v>
      </c>
      <c r="BD52" s="17">
        <v>563.16830783110447</v>
      </c>
      <c r="BE52" s="17">
        <v>528.31923308311514</v>
      </c>
      <c r="BF52" s="17">
        <v>554.85173232781631</v>
      </c>
      <c r="BG52" s="17">
        <v>612.37307649631055</v>
      </c>
      <c r="BH52" s="17">
        <v>519.10635638907149</v>
      </c>
      <c r="BI52" s="17">
        <v>576.16684253611606</v>
      </c>
      <c r="BJ52" s="17">
        <v>587.68985147250032</v>
      </c>
      <c r="BK52" s="17">
        <v>619.79650680608495</v>
      </c>
      <c r="BL52" s="17">
        <v>669.99800000000005</v>
      </c>
      <c r="BM52" s="17">
        <v>666.50400000000002</v>
      </c>
      <c r="BN52" s="17">
        <v>623.3357973426231</v>
      </c>
      <c r="BO52" s="17">
        <v>625.57575819603426</v>
      </c>
      <c r="BP52" s="17">
        <v>641.19799999999998</v>
      </c>
      <c r="BQ52" s="17">
        <v>382.13400000000001</v>
      </c>
      <c r="BR52" s="17">
        <v>500.43400000000003</v>
      </c>
      <c r="BS52" s="17">
        <v>744.63300000000004</v>
      </c>
      <c r="BT52" s="17">
        <v>651.31500000000005</v>
      </c>
      <c r="BU52" s="17">
        <v>595.98400000000004</v>
      </c>
      <c r="BV52" s="17">
        <v>577.55499999999995</v>
      </c>
      <c r="BW52" s="17">
        <v>373.33699999999999</v>
      </c>
      <c r="BX52" s="17">
        <v>529.63324417710317</v>
      </c>
      <c r="BY52" s="17">
        <v>660.5079894267634</v>
      </c>
      <c r="BZ52" s="17">
        <v>615.99968864552056</v>
      </c>
      <c r="CA52" s="17">
        <v>536.19002547635762</v>
      </c>
      <c r="CB52" s="17">
        <v>477.72864759689435</v>
      </c>
      <c r="CC52" s="17">
        <v>571.41124157269087</v>
      </c>
      <c r="CD52" s="17">
        <v>618.36258809171784</v>
      </c>
      <c r="CE52" s="17">
        <v>569.83134316015321</v>
      </c>
      <c r="CF52" s="17">
        <v>621.95984929275551</v>
      </c>
      <c r="CG52" s="17">
        <v>607.45273532566466</v>
      </c>
      <c r="CH52" s="17">
        <v>689.63855723389236</v>
      </c>
      <c r="CI52" s="17">
        <v>602.94752912598085</v>
      </c>
      <c r="CJ52" s="17">
        <v>620.65860611900439</v>
      </c>
    </row>
    <row r="53" spans="1:88" ht="20.149999999999999" customHeight="1" x14ac:dyDescent="0.25">
      <c r="A53" s="12" t="s">
        <v>62</v>
      </c>
      <c r="B53" s="13">
        <v>476.9405281409467</v>
      </c>
      <c r="C53" s="13">
        <v>379.20538929004147</v>
      </c>
      <c r="D53" s="13">
        <v>438.50726445233153</v>
      </c>
      <c r="E53" s="13">
        <v>444.27393915819056</v>
      </c>
      <c r="F53" s="13">
        <v>434.81124522784148</v>
      </c>
      <c r="G53" s="13">
        <v>360.43156090497251</v>
      </c>
      <c r="H53" s="13">
        <v>353.34247261254762</v>
      </c>
      <c r="I53" s="13">
        <v>352.37733315164189</v>
      </c>
      <c r="J53" s="13">
        <v>370.64937823310947</v>
      </c>
      <c r="K53" s="13">
        <v>316.26198026319315</v>
      </c>
      <c r="L53" s="13">
        <v>341.07099370631613</v>
      </c>
      <c r="M53" s="13">
        <v>364.31865401028989</v>
      </c>
      <c r="N53" s="13">
        <v>299.92524691601307</v>
      </c>
      <c r="O53" s="13">
        <v>295.04557131453572</v>
      </c>
      <c r="P53" s="13">
        <v>277.37567451320922</v>
      </c>
      <c r="Q53" s="13">
        <v>293.03157300643187</v>
      </c>
      <c r="R53" s="41">
        <f t="shared" si="28"/>
        <v>266.54409991595139</v>
      </c>
      <c r="S53" s="14">
        <v>240.05662682547089</v>
      </c>
      <c r="T53" s="13">
        <v>217.2932179859508</v>
      </c>
      <c r="U53" s="13">
        <v>211.85112861995415</v>
      </c>
      <c r="V53" s="13">
        <v>235.60664037063125</v>
      </c>
      <c r="W53" s="13">
        <v>237.22141149909737</v>
      </c>
      <c r="X53" s="13">
        <v>219.98110304196882</v>
      </c>
      <c r="Y53" s="13">
        <v>320.77032365712273</v>
      </c>
      <c r="Z53" s="13">
        <v>287.3712895612552</v>
      </c>
      <c r="AA53" s="13">
        <v>256.50969051703117</v>
      </c>
      <c r="AB53" s="13">
        <v>253.40270409118548</v>
      </c>
      <c r="AC53" s="13">
        <v>266.08028283647809</v>
      </c>
      <c r="AD53" s="13">
        <v>200.4144832234395</v>
      </c>
      <c r="AE53" s="13">
        <v>195.52918313820456</v>
      </c>
      <c r="AF53" s="13">
        <v>230.71992363944341</v>
      </c>
      <c r="AG53" s="17">
        <v>214.20537917005896</v>
      </c>
      <c r="AH53" s="17">
        <v>229.16549833569246</v>
      </c>
      <c r="AI53" s="17">
        <v>239.09566505095103</v>
      </c>
      <c r="AJ53" s="17">
        <v>177.1565920567057</v>
      </c>
      <c r="AK53" s="17">
        <v>323.31652414226477</v>
      </c>
      <c r="AL53" s="17">
        <v>262.39876905057093</v>
      </c>
      <c r="AM53" s="17">
        <v>268.75138261077598</v>
      </c>
      <c r="AN53" s="17">
        <v>222.12804894491273</v>
      </c>
      <c r="AO53" s="17">
        <v>304.72800497317093</v>
      </c>
      <c r="AP53" s="17">
        <v>241.58910496961317</v>
      </c>
      <c r="AQ53" s="17">
        <v>213.6259672269469</v>
      </c>
      <c r="AR53" s="17">
        <v>253.5781432460636</v>
      </c>
      <c r="AS53" s="17">
        <v>292.4516776328739</v>
      </c>
      <c r="AT53" s="17">
        <v>263.51068599058181</v>
      </c>
      <c r="AU53" s="17">
        <v>283.3175463148948</v>
      </c>
      <c r="AV53" s="17">
        <v>230.15016619454957</v>
      </c>
      <c r="AW53" s="17">
        <v>279.04122643927877</v>
      </c>
      <c r="AX53" s="41">
        <f t="shared" si="29"/>
        <v>320.20723479819344</v>
      </c>
      <c r="AY53" s="41">
        <f t="shared" si="30"/>
        <v>340.7902389776508</v>
      </c>
      <c r="AZ53" s="41">
        <f t="shared" si="31"/>
        <v>351.08174106737948</v>
      </c>
      <c r="BA53" s="27">
        <v>361.37324315710816</v>
      </c>
      <c r="BB53" s="17">
        <v>300.99578055271957</v>
      </c>
      <c r="BC53" s="17">
        <v>280.79272491536113</v>
      </c>
      <c r="BD53" s="17">
        <v>309.28200423879281</v>
      </c>
      <c r="BE53" s="17">
        <v>346.70808837026425</v>
      </c>
      <c r="BF53" s="17">
        <v>313.07889557862393</v>
      </c>
      <c r="BG53" s="17">
        <v>273.94351438736135</v>
      </c>
      <c r="BH53" s="17">
        <v>265.08660267702976</v>
      </c>
      <c r="BI53" s="17">
        <v>343.4391363927927</v>
      </c>
      <c r="BJ53" s="17">
        <v>366.89229107772638</v>
      </c>
      <c r="BK53" s="17">
        <v>387.47927449812255</v>
      </c>
      <c r="BL53" s="17">
        <v>384.50700000000001</v>
      </c>
      <c r="BM53" s="17">
        <v>426.64400000000001</v>
      </c>
      <c r="BN53" s="17">
        <v>412.66483364478262</v>
      </c>
      <c r="BO53" s="17">
        <v>425.30897217786264</v>
      </c>
      <c r="BP53" s="17">
        <v>385.44200000000001</v>
      </c>
      <c r="BQ53" s="17">
        <v>210.024</v>
      </c>
      <c r="BR53" s="17">
        <v>454.80900000000003</v>
      </c>
      <c r="BS53" s="17">
        <v>445.02800000000002</v>
      </c>
      <c r="BT53" s="17">
        <v>382.39499999999998</v>
      </c>
      <c r="BU53" s="17">
        <v>432.58100000000002</v>
      </c>
      <c r="BV53" s="17">
        <v>438.64</v>
      </c>
      <c r="BW53" s="17">
        <v>219.33799999999999</v>
      </c>
      <c r="BX53" s="17">
        <v>319.49215809689548</v>
      </c>
      <c r="BY53" s="17">
        <v>417.66631369631</v>
      </c>
      <c r="BZ53" s="17">
        <v>324.82049223121817</v>
      </c>
      <c r="CA53" s="17">
        <v>393.96039511015192</v>
      </c>
      <c r="CB53" s="17">
        <v>358.22719395277829</v>
      </c>
      <c r="CC53" s="17">
        <v>366.39927689395392</v>
      </c>
      <c r="CD53" s="17">
        <v>356.73999100539851</v>
      </c>
      <c r="CE53" s="17">
        <v>390.81101157639881</v>
      </c>
      <c r="CF53" s="17">
        <v>378.22907988737842</v>
      </c>
      <c r="CG53" s="17">
        <v>406.35523865382743</v>
      </c>
      <c r="CH53" s="17">
        <v>388.6844951410194</v>
      </c>
      <c r="CI53" s="17">
        <v>376.12188708822737</v>
      </c>
      <c r="CJ53" s="17">
        <v>300.87357205512058</v>
      </c>
    </row>
    <row r="54" spans="1:88" ht="20.149999999999999" customHeight="1" x14ac:dyDescent="0.25">
      <c r="A54" s="12" t="s">
        <v>63</v>
      </c>
      <c r="B54" s="13">
        <v>267.04762324681013</v>
      </c>
      <c r="C54" s="13">
        <v>289.22098737588055</v>
      </c>
      <c r="D54" s="13">
        <v>276.56384379831456</v>
      </c>
      <c r="E54" s="13">
        <v>279.78938242032063</v>
      </c>
      <c r="F54" s="13">
        <v>274.23278712869688</v>
      </c>
      <c r="G54" s="13">
        <v>249.47294332164813</v>
      </c>
      <c r="H54" s="13">
        <v>201.47152951551871</v>
      </c>
      <c r="I54" s="13">
        <v>229.33944207163427</v>
      </c>
      <c r="J54" s="13">
        <v>251.12201488947815</v>
      </c>
      <c r="K54" s="13">
        <v>235.86060976511305</v>
      </c>
      <c r="L54" s="13">
        <v>190.41067721779677</v>
      </c>
      <c r="M54" s="13">
        <v>215.94336895145784</v>
      </c>
      <c r="N54" s="13">
        <v>190.99326818295208</v>
      </c>
      <c r="O54" s="13">
        <v>190.54826303035264</v>
      </c>
      <c r="P54" s="13">
        <v>179.99048579249418</v>
      </c>
      <c r="Q54" s="13">
        <v>166.21549013233007</v>
      </c>
      <c r="R54" s="41">
        <f t="shared" si="28"/>
        <v>168.77791191999523</v>
      </c>
      <c r="S54" s="14">
        <v>171.34033370766036</v>
      </c>
      <c r="T54" s="13">
        <v>145.28117812872406</v>
      </c>
      <c r="U54" s="13">
        <v>183.88301130631373</v>
      </c>
      <c r="V54" s="13">
        <v>173.13699151021603</v>
      </c>
      <c r="W54" s="13">
        <v>181.74124141077041</v>
      </c>
      <c r="X54" s="13">
        <v>171.00651325130519</v>
      </c>
      <c r="Y54" s="13">
        <v>186.33283144078854</v>
      </c>
      <c r="Z54" s="13">
        <v>212.44178709587976</v>
      </c>
      <c r="AA54" s="13">
        <v>209.79421456361561</v>
      </c>
      <c r="AB54" s="13">
        <v>205.9468617189041</v>
      </c>
      <c r="AC54" s="13">
        <v>196.83489235874424</v>
      </c>
      <c r="AD54" s="13">
        <v>200.07642485343001</v>
      </c>
      <c r="AE54" s="13">
        <v>163.81370917052422</v>
      </c>
      <c r="AF54" s="13">
        <v>177.20272140061209</v>
      </c>
      <c r="AG54" s="17">
        <v>182.19416707694327</v>
      </c>
      <c r="AH54" s="17">
        <v>186.9201670643757</v>
      </c>
      <c r="AI54" s="17">
        <v>203.0453684174189</v>
      </c>
      <c r="AJ54" s="17">
        <v>163.95728969020627</v>
      </c>
      <c r="AK54" s="17">
        <v>174.4066454810918</v>
      </c>
      <c r="AL54" s="17">
        <v>183.85012634114065</v>
      </c>
      <c r="AM54" s="17">
        <v>168.6407598683426</v>
      </c>
      <c r="AN54" s="17">
        <v>166.23797174255523</v>
      </c>
      <c r="AO54" s="17">
        <v>216.91053760076298</v>
      </c>
      <c r="AP54" s="17">
        <v>220.95465687449371</v>
      </c>
      <c r="AQ54" s="17">
        <v>161.95957863199655</v>
      </c>
      <c r="AR54" s="17">
        <v>151.19991739941216</v>
      </c>
      <c r="AS54" s="17">
        <v>166.46207708493446</v>
      </c>
      <c r="AT54" s="17">
        <v>217.75766243802175</v>
      </c>
      <c r="AU54" s="17">
        <v>177.59300046056319</v>
      </c>
      <c r="AV54" s="17">
        <v>166.04204911570247</v>
      </c>
      <c r="AW54" s="17">
        <v>166.09723164546574</v>
      </c>
      <c r="AX54" s="41">
        <f t="shared" si="29"/>
        <v>193.04563009036747</v>
      </c>
      <c r="AY54" s="41">
        <f t="shared" si="30"/>
        <v>206.51982931281833</v>
      </c>
      <c r="AZ54" s="41">
        <f t="shared" si="31"/>
        <v>213.25692892404376</v>
      </c>
      <c r="BA54" s="27">
        <v>219.99402853526919</v>
      </c>
      <c r="BB54" s="17">
        <v>186.19995857535875</v>
      </c>
      <c r="BC54" s="17">
        <v>221.73112331621851</v>
      </c>
      <c r="BD54" s="17">
        <v>196.43671112051987</v>
      </c>
      <c r="BE54" s="17">
        <v>247.06517918773693</v>
      </c>
      <c r="BF54" s="17">
        <v>245.82053131044154</v>
      </c>
      <c r="BG54" s="17">
        <v>207.32726597512553</v>
      </c>
      <c r="BH54" s="17">
        <v>232.94168056669932</v>
      </c>
      <c r="BI54" s="17">
        <v>244.5728532789683</v>
      </c>
      <c r="BJ54" s="17">
        <v>294.96034532724485</v>
      </c>
      <c r="BK54" s="17">
        <v>291.07998468482782</v>
      </c>
      <c r="BL54" s="17">
        <v>237.45</v>
      </c>
      <c r="BM54" s="17">
        <v>356.72</v>
      </c>
      <c r="BN54" s="17">
        <v>318.98220152203112</v>
      </c>
      <c r="BO54" s="17">
        <v>329.19853790406682</v>
      </c>
      <c r="BP54" s="17">
        <v>268.69900000000001</v>
      </c>
      <c r="BQ54" s="17">
        <v>234.48500000000001</v>
      </c>
      <c r="BR54" s="17">
        <v>317.851</v>
      </c>
      <c r="BS54" s="17">
        <v>440.76</v>
      </c>
      <c r="BT54" s="17">
        <v>216.494</v>
      </c>
      <c r="BU54" s="17">
        <v>225.74700000000001</v>
      </c>
      <c r="BV54" s="17">
        <v>285.15699999999998</v>
      </c>
      <c r="BW54" s="17">
        <v>177.66300000000001</v>
      </c>
      <c r="BX54" s="17">
        <v>299.73910858479138</v>
      </c>
      <c r="BY54" s="17">
        <v>249.96038789321881</v>
      </c>
      <c r="BZ54" s="17">
        <v>277.63432526951857</v>
      </c>
      <c r="CA54" s="17">
        <v>265.39563986575575</v>
      </c>
      <c r="CB54" s="17">
        <v>257.74708295039676</v>
      </c>
      <c r="CC54" s="17">
        <v>244.97130818940747</v>
      </c>
      <c r="CD54" s="17">
        <v>229.42366227382217</v>
      </c>
      <c r="CE54" s="17">
        <v>251.16665518888666</v>
      </c>
      <c r="CF54" s="17">
        <v>177.13746685056142</v>
      </c>
      <c r="CG54" s="17">
        <v>344.21684706064633</v>
      </c>
      <c r="CH54" s="17">
        <v>300.19815833738483</v>
      </c>
      <c r="CI54" s="17">
        <v>353.4512783801452</v>
      </c>
      <c r="CJ54" s="17">
        <v>228.09669259700848</v>
      </c>
    </row>
    <row r="55" spans="1:88" ht="20.149999999999999" customHeight="1" x14ac:dyDescent="0.25">
      <c r="A55" s="12" t="s">
        <v>64</v>
      </c>
      <c r="B55" s="13">
        <v>237.41831182108854</v>
      </c>
      <c r="C55" s="13">
        <v>222.04492359357536</v>
      </c>
      <c r="D55" s="13">
        <v>206.0550985827683</v>
      </c>
      <c r="E55" s="13">
        <v>214.42273152178717</v>
      </c>
      <c r="F55" s="13">
        <v>204.31833463971873</v>
      </c>
      <c r="G55" s="13">
        <v>218.60059004762991</v>
      </c>
      <c r="H55" s="13">
        <v>173.86318349086096</v>
      </c>
      <c r="I55" s="13">
        <v>189.65638974123456</v>
      </c>
      <c r="J55" s="13">
        <v>197.65357658879876</v>
      </c>
      <c r="K55" s="13">
        <v>169.85228579882403</v>
      </c>
      <c r="L55" s="13">
        <v>114.57481003199024</v>
      </c>
      <c r="M55" s="13">
        <v>193.33867297481868</v>
      </c>
      <c r="N55" s="13">
        <v>165.07997407550454</v>
      </c>
      <c r="O55" s="13">
        <v>160.55650288874108</v>
      </c>
      <c r="P55" s="13">
        <v>116.38342556609194</v>
      </c>
      <c r="Q55" s="13">
        <v>146.22626362356911</v>
      </c>
      <c r="R55" s="41">
        <f t="shared" si="28"/>
        <v>145.27741253377934</v>
      </c>
      <c r="S55" s="14">
        <v>144.32856144398954</v>
      </c>
      <c r="T55" s="13">
        <v>103.69843405538175</v>
      </c>
      <c r="U55" s="13">
        <v>146.21488089169929</v>
      </c>
      <c r="V55" s="13">
        <v>131.9477654420493</v>
      </c>
      <c r="W55" s="13">
        <v>138.26154493838459</v>
      </c>
      <c r="X55" s="13">
        <v>135.34292406063088</v>
      </c>
      <c r="Y55" s="13">
        <v>159.1902569740096</v>
      </c>
      <c r="Z55" s="13">
        <v>173.69715565393835</v>
      </c>
      <c r="AA55" s="13">
        <v>181.08424542875943</v>
      </c>
      <c r="AB55" s="13">
        <v>135.41589798833544</v>
      </c>
      <c r="AC55" s="13">
        <v>146.69227736558906</v>
      </c>
      <c r="AD55" s="13">
        <v>151.78514416111034</v>
      </c>
      <c r="AE55" s="13">
        <v>153.59451716533974</v>
      </c>
      <c r="AF55" s="13">
        <v>140.91969904862339</v>
      </c>
      <c r="AG55" s="17">
        <v>147.19436697974623</v>
      </c>
      <c r="AH55" s="17">
        <v>147.38080360175314</v>
      </c>
      <c r="AI55" s="17">
        <v>136.07781197816365</v>
      </c>
      <c r="AJ55" s="17">
        <v>120.6037175192868</v>
      </c>
      <c r="AK55" s="17">
        <v>174.27708978405954</v>
      </c>
      <c r="AL55" s="17">
        <v>164.10018962033311</v>
      </c>
      <c r="AM55" s="17">
        <v>167.04060240247557</v>
      </c>
      <c r="AN55" s="17">
        <v>120.91467505143791</v>
      </c>
      <c r="AO55" s="17">
        <v>179.71853211707759</v>
      </c>
      <c r="AP55" s="17">
        <v>155.9499012688814</v>
      </c>
      <c r="AQ55" s="17">
        <v>138.68630228853667</v>
      </c>
      <c r="AR55" s="17">
        <v>134.95059144712718</v>
      </c>
      <c r="AS55" s="17">
        <v>168.68356123349184</v>
      </c>
      <c r="AT55" s="17">
        <v>150.87036473635834</v>
      </c>
      <c r="AU55" s="17">
        <v>151.08700102343212</v>
      </c>
      <c r="AV55" s="17">
        <v>116.24347514378236</v>
      </c>
      <c r="AW55" s="17">
        <v>164.1777674833744</v>
      </c>
      <c r="AX55" s="41">
        <f t="shared" si="29"/>
        <v>176.09343479798179</v>
      </c>
      <c r="AY55" s="41">
        <f t="shared" si="30"/>
        <v>182.05126845528548</v>
      </c>
      <c r="AZ55" s="41">
        <f t="shared" si="31"/>
        <v>185.03018528393733</v>
      </c>
      <c r="BA55" s="27">
        <v>188.00910211258918</v>
      </c>
      <c r="BB55" s="17">
        <v>179.47875480940695</v>
      </c>
      <c r="BC55" s="17">
        <v>144.72273692295329</v>
      </c>
      <c r="BD55" s="17">
        <v>119.34497006582757</v>
      </c>
      <c r="BE55" s="17">
        <v>180.88444099934193</v>
      </c>
      <c r="BF55" s="17">
        <v>181.39626211334038</v>
      </c>
      <c r="BG55" s="17">
        <v>149.59544131414034</v>
      </c>
      <c r="BH55" s="17">
        <v>177.40376900342017</v>
      </c>
      <c r="BI55" s="17">
        <v>205.42420738385863</v>
      </c>
      <c r="BJ55" s="17">
        <v>194.23846097517074</v>
      </c>
      <c r="BK55" s="17">
        <v>176.32190066153262</v>
      </c>
      <c r="BL55" s="17">
        <v>192.82499999999999</v>
      </c>
      <c r="BM55" s="17">
        <v>208.298</v>
      </c>
      <c r="BN55" s="17">
        <v>226.38331987359518</v>
      </c>
      <c r="BO55" s="17">
        <v>246.32393708918369</v>
      </c>
      <c r="BP55" s="17">
        <v>163.86799999999999</v>
      </c>
      <c r="BQ55" s="17">
        <v>113.001</v>
      </c>
      <c r="BR55" s="17">
        <v>200.08199999999999</v>
      </c>
      <c r="BS55" s="17">
        <v>225.107</v>
      </c>
      <c r="BT55" s="17">
        <v>133.417</v>
      </c>
      <c r="BU55" s="17">
        <v>208.94800000000001</v>
      </c>
      <c r="BV55" s="17">
        <v>204.59700000000001</v>
      </c>
      <c r="BW55" s="17">
        <v>104.078</v>
      </c>
      <c r="BX55" s="17">
        <v>146.08837651418628</v>
      </c>
      <c r="BY55" s="17">
        <v>218.6912687175344</v>
      </c>
      <c r="BZ55" s="17">
        <v>198.42218248987723</v>
      </c>
      <c r="CA55" s="17">
        <v>187.57889982782947</v>
      </c>
      <c r="CB55" s="17">
        <v>163.10467501041956</v>
      </c>
      <c r="CC55" s="17">
        <v>199.59139286337648</v>
      </c>
      <c r="CD55" s="17">
        <v>168.04863144980237</v>
      </c>
      <c r="CE55" s="17">
        <v>199.30183724506139</v>
      </c>
      <c r="CF55" s="17">
        <v>166.57979091703234</v>
      </c>
      <c r="CG55" s="17">
        <v>219.52942641879875</v>
      </c>
      <c r="CH55" s="17">
        <v>193.31377262168871</v>
      </c>
      <c r="CI55" s="17">
        <v>210.47650167740935</v>
      </c>
      <c r="CJ55" s="17">
        <v>161.59016757906059</v>
      </c>
    </row>
    <row r="56" spans="1:88" ht="20.149999999999999" customHeight="1" thickBot="1" x14ac:dyDescent="0.3">
      <c r="A56" s="18" t="s">
        <v>65</v>
      </c>
      <c r="B56" s="19">
        <v>150.12962927440748</v>
      </c>
      <c r="C56" s="19">
        <v>151.95430296925622</v>
      </c>
      <c r="D56" s="19">
        <v>111.82487745019813</v>
      </c>
      <c r="E56" s="19">
        <v>124.40309628860874</v>
      </c>
      <c r="F56" s="19">
        <v>110.8823459796001</v>
      </c>
      <c r="G56" s="19">
        <v>127.32753687842064</v>
      </c>
      <c r="H56" s="19">
        <v>97.261342357032902</v>
      </c>
      <c r="I56" s="19">
        <v>86.339494577392401</v>
      </c>
      <c r="J56" s="19">
        <v>84.689698055297853</v>
      </c>
      <c r="K56" s="19">
        <v>96.841496362283266</v>
      </c>
      <c r="L56" s="19">
        <v>96.333458555425892</v>
      </c>
      <c r="M56" s="19">
        <v>114.64915656296495</v>
      </c>
      <c r="N56" s="19">
        <v>104.26215247510716</v>
      </c>
      <c r="O56" s="19">
        <v>87.138235700954397</v>
      </c>
      <c r="P56" s="19">
        <v>57.020006441602291</v>
      </c>
      <c r="Q56" s="19">
        <v>102.8656569665369</v>
      </c>
      <c r="R56" s="41">
        <f t="shared" si="28"/>
        <v>94.303416342706754</v>
      </c>
      <c r="S56" s="20">
        <v>85.741175718876619</v>
      </c>
      <c r="T56" s="19">
        <v>72.743147174088477</v>
      </c>
      <c r="U56" s="19">
        <v>81.163374926517292</v>
      </c>
      <c r="V56" s="19">
        <v>100.2491304124308</v>
      </c>
      <c r="W56" s="19">
        <v>93.024290768831591</v>
      </c>
      <c r="X56" s="19">
        <v>74.922848166482169</v>
      </c>
      <c r="Y56" s="19">
        <v>94.519724415425841</v>
      </c>
      <c r="Z56" s="19">
        <v>100.86311338796156</v>
      </c>
      <c r="AA56" s="19">
        <v>94.605844343831592</v>
      </c>
      <c r="AB56" s="19">
        <v>78.457454212634659</v>
      </c>
      <c r="AC56" s="19">
        <v>98.607952977290623</v>
      </c>
      <c r="AD56" s="19">
        <v>82.082819151937059</v>
      </c>
      <c r="AE56" s="19">
        <v>108.92873686582433</v>
      </c>
      <c r="AF56" s="19">
        <v>61.949143407352395</v>
      </c>
      <c r="AG56" s="24">
        <v>80.488877679730706</v>
      </c>
      <c r="AH56" s="24">
        <v>83.204403944646486</v>
      </c>
      <c r="AI56" s="24">
        <v>104.20824146148354</v>
      </c>
      <c r="AJ56" s="24">
        <v>74.20265029178185</v>
      </c>
      <c r="AK56" s="24">
        <v>93.081655438431795</v>
      </c>
      <c r="AL56" s="24">
        <v>91.21244188462444</v>
      </c>
      <c r="AM56" s="24">
        <v>90.653650984005665</v>
      </c>
      <c r="AN56" s="24">
        <v>79.615101217111658</v>
      </c>
      <c r="AO56" s="24">
        <v>88.541926648457377</v>
      </c>
      <c r="AP56" s="24">
        <v>84.011607809869801</v>
      </c>
      <c r="AQ56" s="24">
        <v>73.235427031822141</v>
      </c>
      <c r="AR56" s="24">
        <v>67.19659736644013</v>
      </c>
      <c r="AS56" s="24">
        <v>103.80280304620675</v>
      </c>
      <c r="AT56" s="24">
        <v>79.811314602513562</v>
      </c>
      <c r="AU56" s="24">
        <v>94.667860530295982</v>
      </c>
      <c r="AV56" s="24">
        <v>77.798863711357725</v>
      </c>
      <c r="AW56" s="24">
        <v>84.260171188476477</v>
      </c>
      <c r="AX56" s="41">
        <f t="shared" si="29"/>
        <v>109.76956360282219</v>
      </c>
      <c r="AY56" s="41">
        <f t="shared" si="30"/>
        <v>122.52425980999504</v>
      </c>
      <c r="AZ56" s="41">
        <f t="shared" si="31"/>
        <v>128.90160791358147</v>
      </c>
      <c r="BA56" s="32">
        <v>135.2789560171679</v>
      </c>
      <c r="BB56" s="24">
        <v>84.734242029898212</v>
      </c>
      <c r="BC56" s="24">
        <v>117.06569638083396</v>
      </c>
      <c r="BD56" s="24">
        <v>66.297009370887594</v>
      </c>
      <c r="BE56" s="24">
        <v>81.673892359541853</v>
      </c>
      <c r="BF56" s="24">
        <v>99.145123769777911</v>
      </c>
      <c r="BG56" s="24">
        <v>75.123801827062223</v>
      </c>
      <c r="BH56" s="24">
        <v>83.653961363779175</v>
      </c>
      <c r="BI56" s="24">
        <v>91.343547908264668</v>
      </c>
      <c r="BJ56" s="24">
        <v>107.87470174735778</v>
      </c>
      <c r="BK56" s="24">
        <v>97.215385749432201</v>
      </c>
      <c r="BL56" s="24">
        <v>111.134</v>
      </c>
      <c r="BM56" s="24">
        <v>132.648</v>
      </c>
      <c r="BN56" s="24">
        <v>131.14292305037884</v>
      </c>
      <c r="BO56" s="24">
        <v>127.76479463285258</v>
      </c>
      <c r="BP56" s="24">
        <v>91.54</v>
      </c>
      <c r="BQ56" s="24">
        <v>91.662000000000006</v>
      </c>
      <c r="BR56" s="24">
        <v>93.093999999999994</v>
      </c>
      <c r="BS56" s="24">
        <v>193.46199999999999</v>
      </c>
      <c r="BT56" s="24">
        <v>81.736999999999995</v>
      </c>
      <c r="BU56" s="24">
        <v>121.621</v>
      </c>
      <c r="BV56" s="24">
        <v>87.831000000000003</v>
      </c>
      <c r="BW56" s="24">
        <v>87.831000000000003</v>
      </c>
      <c r="BX56" s="24">
        <v>59.620112627023836</v>
      </c>
      <c r="BY56" s="24">
        <v>116.91107780399827</v>
      </c>
      <c r="BZ56" s="24">
        <v>117.89531136386532</v>
      </c>
      <c r="CA56" s="24">
        <v>134.09303971990516</v>
      </c>
      <c r="CB56" s="24">
        <v>75.650400489510972</v>
      </c>
      <c r="CC56" s="24">
        <v>101.65678048057126</v>
      </c>
      <c r="CD56" s="24">
        <v>94.156127179259158</v>
      </c>
      <c r="CE56" s="24">
        <v>90.452152829499866</v>
      </c>
      <c r="CF56" s="24">
        <v>99.91081305227226</v>
      </c>
      <c r="CG56" s="24">
        <v>121.5527525410629</v>
      </c>
      <c r="CH56" s="24">
        <v>60.069016666014711</v>
      </c>
      <c r="CI56" s="24">
        <v>98.373803728237235</v>
      </c>
      <c r="CJ56" s="24">
        <v>125.39796164980591</v>
      </c>
    </row>
    <row r="57" spans="1:88" ht="20.149999999999999" customHeight="1" x14ac:dyDescent="0.3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4"/>
      <c r="S57" s="14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</row>
    <row r="58" spans="1:88" ht="21" customHeight="1" x14ac:dyDescent="0.3">
      <c r="A58" s="46" t="s">
        <v>44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21"/>
      <c r="AK58" s="21"/>
      <c r="AL58" s="21"/>
      <c r="AM58" s="21"/>
      <c r="AN58" s="21"/>
      <c r="AO58" s="21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</row>
    <row r="59" spans="1:88" s="2" customFormat="1" ht="24.75" customHeight="1" x14ac:dyDescent="0.3">
      <c r="A59" s="47" t="s">
        <v>115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"/>
      <c r="AT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</row>
    <row r="60" spans="1:88" ht="21" customHeight="1" x14ac:dyDescent="0.3">
      <c r="A60" s="46" t="s">
        <v>116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21"/>
      <c r="AK60" s="21"/>
      <c r="AL60" s="21"/>
      <c r="AM60" s="21"/>
      <c r="AN60" s="21"/>
      <c r="AO60" s="21"/>
    </row>
    <row r="61" spans="1:88" ht="21" customHeight="1" x14ac:dyDescent="0.3">
      <c r="A61" s="26" t="s">
        <v>118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</row>
    <row r="62" spans="1:88" ht="24.75" customHeight="1" x14ac:dyDescent="0.3">
      <c r="A62" s="47" t="s">
        <v>117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</row>
    <row r="63" spans="1:88" ht="21" customHeight="1" x14ac:dyDescent="0.3">
      <c r="A63" s="46" t="s">
        <v>119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21"/>
      <c r="AK63" s="21"/>
      <c r="AL63" s="21"/>
      <c r="AM63" s="21"/>
      <c r="AN63" s="21"/>
      <c r="AO63" s="21"/>
    </row>
    <row r="64" spans="1:88" ht="30" customHeight="1" x14ac:dyDescent="0.3">
      <c r="A64" s="42" t="s">
        <v>145</v>
      </c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22"/>
      <c r="AK64" s="22"/>
      <c r="AL64" s="22"/>
      <c r="AM64" s="22"/>
      <c r="AN64" s="22"/>
      <c r="AO64" s="22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</row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  <row r="108" x14ac:dyDescent="0.3"/>
    <row r="109" x14ac:dyDescent="0.3"/>
    <row r="110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hidden="1" x14ac:dyDescent="0.3"/>
    <row r="125" hidden="1" x14ac:dyDescent="0.3"/>
    <row r="126" x14ac:dyDescent="0.3"/>
  </sheetData>
  <mergeCells count="9">
    <mergeCell ref="A64:AI64"/>
    <mergeCell ref="A3:AI3"/>
    <mergeCell ref="A1:AI1"/>
    <mergeCell ref="A2:AI2"/>
    <mergeCell ref="A63:AI63"/>
    <mergeCell ref="A58:AI58"/>
    <mergeCell ref="A60:AI60"/>
    <mergeCell ref="A59:AR59"/>
    <mergeCell ref="A62:AR62"/>
  </mergeCells>
  <phoneticPr fontId="4" type="noConversion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14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BEL</vt:lpstr>
      <vt:lpstr>BEL!Área_de_impresión</vt:lpstr>
    </vt:vector>
  </TitlesOfParts>
  <Company>Ministerio de Trabajo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Salvaneschi</dc:creator>
  <cp:lastModifiedBy>WGekko</cp:lastModifiedBy>
  <cp:lastPrinted>2007-03-27T20:38:21Z</cp:lastPrinted>
  <dcterms:created xsi:type="dcterms:W3CDTF">2007-01-05T16:36:32Z</dcterms:created>
  <dcterms:modified xsi:type="dcterms:W3CDTF">2025-11-05T20:42:52Z</dcterms:modified>
</cp:coreProperties>
</file>