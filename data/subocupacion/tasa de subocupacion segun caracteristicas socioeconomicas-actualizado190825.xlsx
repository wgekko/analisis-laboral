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Gekko\Documents\app-trabajo\data\subocupacion\"/>
    </mc:Choice>
  </mc:AlternateContent>
  <bookViews>
    <workbookView xWindow="0" yWindow="0" windowWidth="21580" windowHeight="8150"/>
  </bookViews>
  <sheets>
    <sheet name="BEL" sheetId="1" r:id="rId1"/>
  </sheets>
  <externalReferences>
    <externalReference r:id="rId2"/>
    <externalReference r:id="rId3"/>
  </externalReferences>
  <definedNames>
    <definedName name="_cd1" localSheetId="0" hidden="1">{"'cua 42'!$A$1:$O$40"}</definedName>
    <definedName name="_cd1" hidden="1">{"'cua 42'!$A$1:$O$40"}</definedName>
    <definedName name="_Key1" hidden="1">'[1]dep pre'!#REF!</definedName>
    <definedName name="_Order1" hidden="1">255</definedName>
    <definedName name="_Parse_In" hidden="1">'[1]dep pre'!#REF!</definedName>
    <definedName name="_Parse_Out" hidden="1">'[1]dep pre'!#REF!</definedName>
    <definedName name="_Sort" hidden="1">'[1]dep pre'!#REF!</definedName>
    <definedName name="AA" localSheetId="0" hidden="1">{"'cua 42'!$A$1:$O$40"}</definedName>
    <definedName name="AA" hidden="1">{"'cua 42'!$A$1:$O$40"}</definedName>
    <definedName name="ab" localSheetId="0" hidden="1">{"'cua 42'!$A$1:$O$40"}</definedName>
    <definedName name="ab" hidden="1">{"'cua 42'!$A$1:$O$40"}</definedName>
    <definedName name="affff" localSheetId="0" hidden="1">{"'cua 42'!$A$1:$O$40"}</definedName>
    <definedName name="affff" hidden="1">{"'cua 42'!$A$1:$O$40"}</definedName>
    <definedName name="_xlnm.Print_Area" localSheetId="0">BEL!$A$1:$BD$39</definedName>
    <definedName name="BB" localSheetId="0" hidden="1">{"'cua 42'!$A$1:$O$40"}</definedName>
    <definedName name="BB" hidden="1">{"'cua 42'!$A$1:$O$40"}</definedName>
    <definedName name="cc" localSheetId="0" hidden="1">{"'cua 42'!$A$1:$O$40"}</definedName>
    <definedName name="cc" hidden="1">{"'cua 42'!$A$1:$O$40"}</definedName>
    <definedName name="dd" localSheetId="0" hidden="1">{"'cua 42'!$A$1:$O$40"}</definedName>
    <definedName name="dd" hidden="1">{"'cua 42'!$A$1:$O$40"}</definedName>
    <definedName name="dfg" localSheetId="0" hidden="1">{"'cua 42'!$A$1:$O$40"}</definedName>
    <definedName name="dfg" hidden="1">{"'cua 42'!$A$1:$O$40"}</definedName>
    <definedName name="dfgh" localSheetId="0" hidden="1">{"'cua 42'!$A$1:$O$40"}</definedName>
    <definedName name="dfgh" hidden="1">{"'cua 42'!$A$1:$O$40"}</definedName>
    <definedName name="fffffffffff" localSheetId="0" hidden="1">{"'tasa de salida'!$A$1:$G$48"}</definedName>
    <definedName name="fffffffffff" hidden="1">{"'tasa de salida'!$A$1:$G$48"}</definedName>
    <definedName name="gu" hidden="1">'[2]dep pre'!#REF!</definedName>
    <definedName name="hh" localSheetId="0" hidden="1">{"'cuadro 18 '!$A$1:$L$34"}</definedName>
    <definedName name="hh" hidden="1">{"'cuadro 18 '!$A$1:$L$34"}</definedName>
    <definedName name="hllliun" hidden="1">'[2]dep pre'!#REF!</definedName>
    <definedName name="HTML_CodePage" hidden="1">1252</definedName>
    <definedName name="HTML_Control" localSheetId="0" hidden="1">{"'tasa de salida'!$A$1:$G$48"}</definedName>
    <definedName name="HTML_Control" hidden="1">{"'tasa de salida'!$A$1:$G$48"}</definedName>
    <definedName name="HTML_Control2" localSheetId="0" hidden="1">{"'tasa de salida'!$A$1:$G$48"}</definedName>
    <definedName name="HTML_Control2" hidden="1">{"'tasa de salida'!$A$1:$G$48"}</definedName>
    <definedName name="HTML_Control3" localSheetId="0" hidden="1">{"'tasa de salida'!$A$1:$G$48"}</definedName>
    <definedName name="HTML_Control3" hidden="1">{"'tasa de salida'!$A$1:$G$48"}</definedName>
    <definedName name="HTML_Description" hidden="1">""</definedName>
    <definedName name="HTML_Email" hidden="1">"dnrmt@trabajo.gov.ar"</definedName>
    <definedName name="HTML_Header" hidden="1">""</definedName>
    <definedName name="HTML_LastUpdate" hidden="1">"22/02/1999"</definedName>
    <definedName name="HTML_LineAfter" hidden="1">TRUE</definedName>
    <definedName name="HTML_LineBefore" hidden="1">FALSE</definedName>
    <definedName name="HTML_Name" hidden="1">"MTSS - SEyCL - DNRMT"</definedName>
    <definedName name="HTML_OBDlg2" hidden="1">TRUE</definedName>
    <definedName name="HTML_OBDlg4" hidden="1">TRUE</definedName>
    <definedName name="HTML_OS" hidden="1">0</definedName>
    <definedName name="HTML_PathFile" hidden="1">"Z:\juanpi\anexo eil - web\html\eil0199\1207.html"</definedName>
    <definedName name="HTML_Title" hidden="1">""</definedName>
    <definedName name="jjjjjjjjjjj" localSheetId="0" hidden="1">{"'cua 42'!$A$1:$O$40"}</definedName>
    <definedName name="jjjjjjjjjjj" hidden="1">{"'cua 42'!$A$1:$O$40"}</definedName>
    <definedName name="jppmpñ" localSheetId="0" hidden="1">{"'cua 42'!$A$1:$O$40"}</definedName>
    <definedName name="jppmpñ" hidden="1">{"'cua 42'!$A$1:$O$40"}</definedName>
    <definedName name="lkjp" hidden="1">'[2]dep pre'!#REF!</definedName>
    <definedName name="nnnnnnnnnnn" localSheetId="0" hidden="1">{"'cua 42'!$A$1:$O$40"}</definedName>
    <definedName name="nnnnnnnnnnn" hidden="1">{"'cua 42'!$A$1:$O$40"}</definedName>
    <definedName name="santiago" localSheetId="0" hidden="1">{"'cua 42'!$A$1:$O$40"}</definedName>
    <definedName name="santiago" hidden="1">{"'cua 42'!$A$1:$O$40"}</definedName>
    <definedName name="sertes" localSheetId="0" hidden="1">{"'cua 42'!$A$1:$O$40"}</definedName>
    <definedName name="sertes" hidden="1">{"'cua 42'!$A$1:$O$40"}</definedName>
    <definedName name="sfg" hidden="1">'[2]dep pre'!#REF!</definedName>
    <definedName name="shit" localSheetId="0" hidden="1">{"'cua 42'!$A$1:$O$40"}</definedName>
    <definedName name="shit" hidden="1">{"'cua 42'!$A$1:$O$40"}</definedName>
    <definedName name="ssssss" localSheetId="0" hidden="1">{"'tasa de salida'!$A$1:$G$48"}</definedName>
    <definedName name="ssssss" hidden="1">{"'tasa de salida'!$A$1:$G$48"}</definedName>
    <definedName name="tyurt" localSheetId="0" hidden="1">{"'cua 42'!$A$1:$O$40"}</definedName>
    <definedName name="tyurt" hidden="1">{"'cua 42'!$A$1:$O$40"}</definedName>
    <definedName name="yuetyy" localSheetId="0" hidden="1">{"'cua 42'!$A$1:$O$40"}</definedName>
    <definedName name="yuetyy" hidden="1">{"'cua 42'!$A$1:$O$40"}</definedName>
  </definedNames>
  <calcPr calcId="162913"/>
</workbook>
</file>

<file path=xl/calcChain.xml><?xml version="1.0" encoding="utf-8"?>
<calcChain xmlns="http://schemas.openxmlformats.org/spreadsheetml/2006/main">
  <c r="AX32" i="1" l="1"/>
  <c r="AY32" i="1" s="1"/>
  <c r="AZ32" i="1" s="1"/>
  <c r="AX31" i="1"/>
  <c r="AY31" i="1" s="1"/>
  <c r="AZ31" i="1" s="1"/>
  <c r="AX30" i="1"/>
  <c r="AY30" i="1" s="1"/>
  <c r="AZ30" i="1" s="1"/>
  <c r="AY29" i="1"/>
  <c r="AZ29" i="1" s="1"/>
  <c r="AX29" i="1"/>
  <c r="AX28" i="1"/>
  <c r="AY28" i="1" s="1"/>
  <c r="AZ28" i="1" s="1"/>
  <c r="AX26" i="1"/>
  <c r="AY26" i="1" s="1"/>
  <c r="AZ26" i="1" s="1"/>
  <c r="AX25" i="1"/>
  <c r="AY25" i="1" s="1"/>
  <c r="AZ25" i="1" s="1"/>
  <c r="AX24" i="1"/>
  <c r="AY24" i="1" s="1"/>
  <c r="AZ24" i="1" s="1"/>
  <c r="AY23" i="1"/>
  <c r="AZ23" i="1" s="1"/>
  <c r="AX23" i="1"/>
  <c r="AX22" i="1"/>
  <c r="AY22" i="1" s="1"/>
  <c r="AZ22" i="1" s="1"/>
  <c r="AX21" i="1"/>
  <c r="AY21" i="1" s="1"/>
  <c r="AZ21" i="1" s="1"/>
  <c r="AX19" i="1"/>
  <c r="AY19" i="1" s="1"/>
  <c r="AZ19" i="1" s="1"/>
  <c r="AX18" i="1"/>
  <c r="AY18" i="1" s="1"/>
  <c r="AZ18" i="1" s="1"/>
  <c r="AY17" i="1"/>
  <c r="AZ17" i="1" s="1"/>
  <c r="AX17" i="1"/>
  <c r="AX16" i="1"/>
  <c r="AY16" i="1" s="1"/>
  <c r="AZ16" i="1" s="1"/>
  <c r="AX14" i="1"/>
  <c r="AY14" i="1" s="1"/>
  <c r="AZ14" i="1" s="1"/>
  <c r="AX13" i="1"/>
  <c r="AY13" i="1" s="1"/>
  <c r="AZ13" i="1" s="1"/>
  <c r="AX12" i="1"/>
  <c r="AY12" i="1" s="1"/>
  <c r="AZ12" i="1" s="1"/>
  <c r="AY11" i="1"/>
  <c r="AZ11" i="1" s="1"/>
  <c r="AX11" i="1"/>
  <c r="AX10" i="1"/>
  <c r="AY10" i="1" s="1"/>
  <c r="AZ10" i="1" s="1"/>
  <c r="AX8" i="1"/>
  <c r="AY8" i="1" s="1"/>
  <c r="AZ8" i="1" s="1"/>
  <c r="AX7" i="1"/>
  <c r="AY7" i="1" s="1"/>
  <c r="AZ7" i="1" s="1"/>
  <c r="AX5" i="1"/>
  <c r="AY5" i="1" s="1"/>
  <c r="AZ5" i="1" s="1"/>
  <c r="R32" i="1"/>
  <c r="R31" i="1"/>
  <c r="R30" i="1"/>
  <c r="R29" i="1"/>
  <c r="R28" i="1"/>
  <c r="R26" i="1"/>
  <c r="R25" i="1"/>
  <c r="R24" i="1"/>
  <c r="R23" i="1"/>
  <c r="R22" i="1"/>
  <c r="R21" i="1"/>
  <c r="R19" i="1"/>
  <c r="R18" i="1"/>
  <c r="R17" i="1"/>
  <c r="R16" i="1"/>
  <c r="R14" i="1"/>
  <c r="R13" i="1"/>
  <c r="R12" i="1"/>
  <c r="R11" i="1"/>
  <c r="R10" i="1"/>
  <c r="R8" i="1"/>
  <c r="R7" i="1"/>
  <c r="R5" i="1"/>
</calcChain>
</file>

<file path=xl/sharedStrings.xml><?xml version="1.0" encoding="utf-8"?>
<sst xmlns="http://schemas.openxmlformats.org/spreadsheetml/2006/main" count="125" uniqueCount="125">
  <si>
    <t>Mercado de trabajo - EPH</t>
  </si>
  <si>
    <t>Total de aglomerados relevados</t>
  </si>
  <si>
    <t>Total</t>
  </si>
  <si>
    <t>Sexo</t>
  </si>
  <si>
    <t>Varones</t>
  </si>
  <si>
    <t>Mujeres</t>
  </si>
  <si>
    <t>Hasta 24 años</t>
  </si>
  <si>
    <t>Entre 25 y 34 años</t>
  </si>
  <si>
    <t>Entre 35 y 49 años</t>
  </si>
  <si>
    <t>Entre 50 y 59 años</t>
  </si>
  <si>
    <t>60 años y más</t>
  </si>
  <si>
    <t>Posición en el hogar</t>
  </si>
  <si>
    <t>Jefe</t>
  </si>
  <si>
    <t>Cónyuge</t>
  </si>
  <si>
    <t>Hijo</t>
  </si>
  <si>
    <t>Otros</t>
  </si>
  <si>
    <t>Nivel educativo</t>
  </si>
  <si>
    <t>Hasta primario incompleto</t>
  </si>
  <si>
    <t>Primario completo</t>
  </si>
  <si>
    <t>Secundario incompleto</t>
  </si>
  <si>
    <t>Secundario completo</t>
  </si>
  <si>
    <t>Terc/univ incompleto</t>
  </si>
  <si>
    <t>Terc/univ completo</t>
  </si>
  <si>
    <t>1° Trim 06</t>
  </si>
  <si>
    <t>2° Trim 06</t>
  </si>
  <si>
    <t>3° Trim 06</t>
  </si>
  <si>
    <t>4° Trim 06</t>
  </si>
  <si>
    <t>1° Trim 07</t>
  </si>
  <si>
    <t>1° quintil</t>
  </si>
  <si>
    <t>2° quintil</t>
  </si>
  <si>
    <t>3° quintil</t>
  </si>
  <si>
    <t>4° quintil</t>
  </si>
  <si>
    <t>5° quintil</t>
  </si>
  <si>
    <t>Ingreso per cápita familiar</t>
  </si>
  <si>
    <t>Grupos de edad</t>
  </si>
  <si>
    <t>Nota:</t>
  </si>
  <si>
    <t>2° Trim 16</t>
  </si>
  <si>
    <t>3° Trim 16</t>
  </si>
  <si>
    <r>
      <t xml:space="preserve">2° Trim 07 </t>
    </r>
    <r>
      <rPr>
        <b/>
        <vertAlign val="superscript"/>
        <sz val="12"/>
        <rFont val="Arial"/>
        <family val="2"/>
      </rPr>
      <t>1</t>
    </r>
  </si>
  <si>
    <r>
      <t xml:space="preserve">4° Trim 07 </t>
    </r>
    <r>
      <rPr>
        <b/>
        <vertAlign val="superscript"/>
        <sz val="12"/>
        <rFont val="Arial"/>
        <family val="2"/>
      </rPr>
      <t>1</t>
    </r>
  </si>
  <si>
    <r>
      <t xml:space="preserve">1° Trim 08 </t>
    </r>
    <r>
      <rPr>
        <b/>
        <vertAlign val="superscript"/>
        <sz val="12"/>
        <rFont val="Arial"/>
        <family val="2"/>
      </rPr>
      <t>1</t>
    </r>
  </si>
  <si>
    <r>
      <t xml:space="preserve">2° Trim 08 </t>
    </r>
    <r>
      <rPr>
        <b/>
        <vertAlign val="superscript"/>
        <sz val="12"/>
        <rFont val="Arial"/>
        <family val="2"/>
      </rPr>
      <t>1</t>
    </r>
  </si>
  <si>
    <r>
      <t xml:space="preserve">3° Trim 08 </t>
    </r>
    <r>
      <rPr>
        <b/>
        <vertAlign val="superscript"/>
        <sz val="12"/>
        <rFont val="Arial"/>
        <family val="2"/>
      </rPr>
      <t>1</t>
    </r>
  </si>
  <si>
    <r>
      <t xml:space="preserve">4° Trim 08 </t>
    </r>
    <r>
      <rPr>
        <b/>
        <vertAlign val="superscript"/>
        <sz val="12"/>
        <rFont val="Arial"/>
        <family val="2"/>
      </rPr>
      <t>1</t>
    </r>
  </si>
  <si>
    <r>
      <t xml:space="preserve">1° Trim 09 </t>
    </r>
    <r>
      <rPr>
        <b/>
        <vertAlign val="superscript"/>
        <sz val="12"/>
        <rFont val="Arial"/>
        <family val="2"/>
      </rPr>
      <t>1</t>
    </r>
  </si>
  <si>
    <r>
      <t xml:space="preserve">2° Trim 09 </t>
    </r>
    <r>
      <rPr>
        <b/>
        <vertAlign val="superscript"/>
        <sz val="12"/>
        <rFont val="Arial"/>
        <family val="2"/>
      </rPr>
      <t>1</t>
    </r>
  </si>
  <si>
    <r>
      <t xml:space="preserve">3° Trim 09 </t>
    </r>
    <r>
      <rPr>
        <b/>
        <vertAlign val="superscript"/>
        <sz val="12"/>
        <rFont val="Arial"/>
        <family val="2"/>
      </rPr>
      <t>1</t>
    </r>
  </si>
  <si>
    <r>
      <t xml:space="preserve">4° Trim 09 </t>
    </r>
    <r>
      <rPr>
        <b/>
        <vertAlign val="superscript"/>
        <sz val="12"/>
        <rFont val="Arial"/>
        <family val="2"/>
      </rPr>
      <t>1</t>
    </r>
  </si>
  <si>
    <r>
      <t xml:space="preserve">1° Trim 10 </t>
    </r>
    <r>
      <rPr>
        <b/>
        <vertAlign val="superscript"/>
        <sz val="12"/>
        <rFont val="Arial"/>
        <family val="2"/>
      </rPr>
      <t>1</t>
    </r>
  </si>
  <si>
    <r>
      <t xml:space="preserve">2° Trim 10 </t>
    </r>
    <r>
      <rPr>
        <b/>
        <vertAlign val="superscript"/>
        <sz val="12"/>
        <rFont val="Arial"/>
        <family val="2"/>
      </rPr>
      <t>1</t>
    </r>
  </si>
  <si>
    <r>
      <t xml:space="preserve">3° Trim 10 </t>
    </r>
    <r>
      <rPr>
        <b/>
        <vertAlign val="superscript"/>
        <sz val="12"/>
        <rFont val="Arial"/>
        <family val="2"/>
      </rPr>
      <t>1</t>
    </r>
  </si>
  <si>
    <r>
      <t xml:space="preserve">4° Trim 10 </t>
    </r>
    <r>
      <rPr>
        <b/>
        <vertAlign val="superscript"/>
        <sz val="12"/>
        <rFont val="Arial"/>
        <family val="2"/>
      </rPr>
      <t>1</t>
    </r>
  </si>
  <si>
    <r>
      <t xml:space="preserve">1° Trim 11 </t>
    </r>
    <r>
      <rPr>
        <b/>
        <vertAlign val="superscript"/>
        <sz val="12"/>
        <rFont val="Arial"/>
        <family val="2"/>
      </rPr>
      <t>1</t>
    </r>
  </si>
  <si>
    <r>
      <t xml:space="preserve">2° Trim 11 </t>
    </r>
    <r>
      <rPr>
        <b/>
        <vertAlign val="superscript"/>
        <sz val="12"/>
        <rFont val="Arial"/>
        <family val="2"/>
      </rPr>
      <t>1</t>
    </r>
  </si>
  <si>
    <r>
      <t xml:space="preserve">3° Trim 11 </t>
    </r>
    <r>
      <rPr>
        <b/>
        <vertAlign val="superscript"/>
        <sz val="12"/>
        <rFont val="Arial"/>
        <family val="2"/>
      </rPr>
      <t>1</t>
    </r>
  </si>
  <si>
    <r>
      <t xml:space="preserve">4° Trim 11 </t>
    </r>
    <r>
      <rPr>
        <b/>
        <vertAlign val="superscript"/>
        <sz val="12"/>
        <rFont val="Arial"/>
        <family val="2"/>
      </rPr>
      <t>1</t>
    </r>
  </si>
  <si>
    <r>
      <t xml:space="preserve">1° Trim 12 </t>
    </r>
    <r>
      <rPr>
        <b/>
        <vertAlign val="superscript"/>
        <sz val="12"/>
        <rFont val="Arial"/>
        <family val="2"/>
      </rPr>
      <t>1</t>
    </r>
  </si>
  <si>
    <r>
      <t xml:space="preserve">2° Trim 12 </t>
    </r>
    <r>
      <rPr>
        <b/>
        <vertAlign val="superscript"/>
        <sz val="12"/>
        <rFont val="Arial"/>
        <family val="2"/>
      </rPr>
      <t>1</t>
    </r>
  </si>
  <si>
    <r>
      <t xml:space="preserve">3° Trim 12 </t>
    </r>
    <r>
      <rPr>
        <b/>
        <vertAlign val="superscript"/>
        <sz val="12"/>
        <rFont val="Arial"/>
        <family val="2"/>
      </rPr>
      <t>1</t>
    </r>
  </si>
  <si>
    <r>
      <t xml:space="preserve">4° Trim 12 </t>
    </r>
    <r>
      <rPr>
        <b/>
        <vertAlign val="superscript"/>
        <sz val="12"/>
        <rFont val="Arial"/>
        <family val="2"/>
      </rPr>
      <t>1</t>
    </r>
  </si>
  <si>
    <r>
      <t xml:space="preserve">1° Trim 13 </t>
    </r>
    <r>
      <rPr>
        <b/>
        <vertAlign val="superscript"/>
        <sz val="12"/>
        <rFont val="Arial"/>
        <family val="2"/>
      </rPr>
      <t>1</t>
    </r>
  </si>
  <si>
    <r>
      <t xml:space="preserve">2° Trim 13 </t>
    </r>
    <r>
      <rPr>
        <b/>
        <vertAlign val="superscript"/>
        <sz val="12"/>
        <rFont val="Arial"/>
        <family val="2"/>
      </rPr>
      <t>1</t>
    </r>
  </si>
  <si>
    <r>
      <t xml:space="preserve">3° Trim 13 </t>
    </r>
    <r>
      <rPr>
        <b/>
        <vertAlign val="superscript"/>
        <sz val="12"/>
        <rFont val="Arial"/>
        <family val="2"/>
      </rPr>
      <t>1</t>
    </r>
  </si>
  <si>
    <r>
      <t xml:space="preserve">4° Trim 13 </t>
    </r>
    <r>
      <rPr>
        <b/>
        <vertAlign val="superscript"/>
        <sz val="12"/>
        <rFont val="Arial"/>
        <family val="2"/>
      </rPr>
      <t>1</t>
    </r>
  </si>
  <si>
    <r>
      <t xml:space="preserve">2° Trim 14 </t>
    </r>
    <r>
      <rPr>
        <b/>
        <vertAlign val="superscript"/>
        <sz val="12"/>
        <rFont val="Arial"/>
        <family val="2"/>
      </rPr>
      <t>1</t>
    </r>
  </si>
  <si>
    <r>
      <t xml:space="preserve">3° Trim 14 </t>
    </r>
    <r>
      <rPr>
        <b/>
        <vertAlign val="superscript"/>
        <sz val="12"/>
        <rFont val="Arial"/>
        <family val="2"/>
      </rPr>
      <t>1</t>
    </r>
  </si>
  <si>
    <r>
      <t xml:space="preserve">4° Trim 14 </t>
    </r>
    <r>
      <rPr>
        <b/>
        <vertAlign val="superscript"/>
        <sz val="12"/>
        <rFont val="Arial"/>
        <family val="2"/>
      </rPr>
      <t>1</t>
    </r>
  </si>
  <si>
    <r>
      <t xml:space="preserve">1° Trim 15 </t>
    </r>
    <r>
      <rPr>
        <b/>
        <vertAlign val="superscript"/>
        <sz val="12"/>
        <rFont val="Arial"/>
        <family val="2"/>
      </rPr>
      <t>1</t>
    </r>
  </si>
  <si>
    <r>
      <t xml:space="preserve">3° Trim 07 </t>
    </r>
    <r>
      <rPr>
        <b/>
        <vertAlign val="superscript"/>
        <sz val="12"/>
        <rFont val="Arial"/>
        <family val="2"/>
      </rPr>
      <t>2</t>
    </r>
  </si>
  <si>
    <t>4° Trim 16</t>
  </si>
  <si>
    <t>1° Trim 17</t>
  </si>
  <si>
    <t>2° Trim 17</t>
  </si>
  <si>
    <t>3° Trim 17</t>
  </si>
  <si>
    <t>4° Trim 17</t>
  </si>
  <si>
    <t>1° Trim 18</t>
  </si>
  <si>
    <t>2° Trim 18</t>
  </si>
  <si>
    <t>3° Trim 18</t>
  </si>
  <si>
    <r>
      <t xml:space="preserve">1° Trim 14 </t>
    </r>
    <r>
      <rPr>
        <b/>
        <vertAlign val="superscript"/>
        <sz val="12"/>
        <rFont val="Arial"/>
        <family val="2"/>
      </rPr>
      <t>1 3</t>
    </r>
  </si>
  <si>
    <r>
      <t xml:space="preserve">2° Trim 15 </t>
    </r>
    <r>
      <rPr>
        <b/>
        <vertAlign val="superscript"/>
        <sz val="12"/>
        <rFont val="Arial"/>
        <family val="2"/>
      </rPr>
      <t xml:space="preserve">1 </t>
    </r>
  </si>
  <si>
    <r>
      <t xml:space="preserve">3° Trim 15 </t>
    </r>
    <r>
      <rPr>
        <b/>
        <vertAlign val="superscript"/>
        <sz val="12"/>
        <rFont val="Arial"/>
        <family val="2"/>
      </rPr>
      <t>1 4</t>
    </r>
  </si>
  <si>
    <r>
      <t xml:space="preserve">4° Trim 15 </t>
    </r>
    <r>
      <rPr>
        <b/>
        <vertAlign val="superscript"/>
        <sz val="12"/>
        <rFont val="Arial"/>
        <family val="2"/>
      </rPr>
      <t>1 4</t>
    </r>
  </si>
  <si>
    <r>
      <t xml:space="preserve">1° Trim 16 </t>
    </r>
    <r>
      <rPr>
        <b/>
        <vertAlign val="superscript"/>
        <sz val="12"/>
        <rFont val="Arial"/>
        <family val="2"/>
      </rPr>
      <t>4</t>
    </r>
  </si>
  <si>
    <t>1.El INDEC ha dispuesto que las series estadísticas de la EPH del período comprendido entre el 2° trimestre de 2007 y hasta diciembre 2015 deben ser consideradas con reservas, conforme a la emergencia estadística (Decretos 181/15 y 55/16) . Ver "Consideración sobre la revisión, evaluación y recuperación de la EPH" publicado por INDEC el 23/8/2016.</t>
  </si>
  <si>
    <t>2. No se presenta la información debido a que en dicho trimestre no se relevaron algunos de los principales aglomerados de la EPH (GBA, Mar del Plata, Bahía Blanca y Gran La Plata).</t>
  </si>
  <si>
    <t>3. A partir del 1° trimestre de 2014 todas las viviendas seleccionadas para la EPH fueron extraídas de la Muestra Maestra Urbana de Viviendas (MMUVRA), basada en el CNPHV 2010, y todas las estimaciones finales se ajustan de acuerdo a las proyecciones de población del CNPHyV 2010. Esto produce cambios de diferente significación en relación a las estructuras de las poblaciones proyectadas lo cual impacta en las estimaciones sobre propiedades asociadas a la distribución por sexo o por edades. Las poblaciones ajustadas según las proyecciones del CNPHyV 2010 exhiben Tasas de actividad y de empleo menores que las ajustadas según las proyecciones del CNPHyV 2001. Es decir que las estimaciones de la EPH a partir del año 2014 no son estrictamente comparables con las de períodos anteriores.</t>
  </si>
  <si>
    <t>4. Información no disponible</t>
  </si>
  <si>
    <t>3° Trim 03</t>
  </si>
  <si>
    <t>4° Trim 03</t>
  </si>
  <si>
    <t>1° Trim 04</t>
  </si>
  <si>
    <t>2° Trim 04</t>
  </si>
  <si>
    <t>3° Trim 04</t>
  </si>
  <si>
    <t>4° Trim 04</t>
  </si>
  <si>
    <t>1° Trim 05</t>
  </si>
  <si>
    <t>2° Trim 05</t>
  </si>
  <si>
    <t>3° Trim 05</t>
  </si>
  <si>
    <t>4° Trim 05</t>
  </si>
  <si>
    <t>4° Trim 18</t>
  </si>
  <si>
    <t>1° Trim 19</t>
  </si>
  <si>
    <t>2° Trim 19</t>
  </si>
  <si>
    <t>3° Trim 19</t>
  </si>
  <si>
    <t>4° Trim 19</t>
  </si>
  <si>
    <t>1° Trim 20</t>
  </si>
  <si>
    <t>2° Trim 20</t>
  </si>
  <si>
    <t>3° Trim 20</t>
  </si>
  <si>
    <t>4° Trim 20</t>
  </si>
  <si>
    <t>1° Trim 21</t>
  </si>
  <si>
    <t>2° Trim 21</t>
  </si>
  <si>
    <t>3° Trim 21</t>
  </si>
  <si>
    <t>4° Trim 21</t>
  </si>
  <si>
    <t>1° Trim 22</t>
  </si>
  <si>
    <t>2° Trim 22</t>
  </si>
  <si>
    <t>3° Trim 22</t>
  </si>
  <si>
    <t>Tasa de subocupación según sexo, grupos de edad, posición en el hogar, nivel educativo y quintil de ingreso per cápita familiar</t>
  </si>
  <si>
    <t>4° Trim 22</t>
  </si>
  <si>
    <t>1° Trim 23</t>
  </si>
  <si>
    <t>2° Trim 23</t>
  </si>
  <si>
    <t>3° Trim 23</t>
  </si>
  <si>
    <t>4° Trim 23</t>
  </si>
  <si>
    <t>1° Trim 24</t>
  </si>
  <si>
    <t>Fuente: STEySS – Dirección General de Estudios y Estadísticas Laborales, en base a EPH (INDEC).</t>
  </si>
  <si>
    <t>2° Trim 24</t>
  </si>
  <si>
    <t>3° Trim 24</t>
  </si>
  <si>
    <t>4° Trim 24</t>
  </si>
  <si>
    <t>1° Trim 25</t>
  </si>
  <si>
    <t>Categoría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</si>
</sst>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_ * #,##0.00_ ;_ * \-#,##0.00_ ;_ * &quot;-&quot;??_ ;_ @_ "/>
    <numFmt numFmtId="165" formatCode="_ * #,##0.0_ ;_ * \-#,##0.0_ ;_ * &quot;-&quot;??_ ;_ @_ "/>
    <numFmt numFmtId="166" formatCode="_ * #,##0_ ;_ * \-#,##0_ ;_ * &quot;-&quot;??_ ;_ @_ "/>
    <numFmt numFmtId="167" formatCode="#.##000"/>
    <numFmt numFmtId="168" formatCode="\$#,#00"/>
    <numFmt numFmtId="169" formatCode="#,#00"/>
    <numFmt numFmtId="170" formatCode="#.##0,"/>
    <numFmt numFmtId="171" formatCode="\$#,"/>
    <numFmt numFmtId="172" formatCode="_ [$€-2]\ * #,##0.00_ ;_ [$€-2]\ * \-#,##0.00_ ;_ [$€-2]\ * &quot;-&quot;??_ "/>
    <numFmt numFmtId="173" formatCode="&quot;$&quot;#,##0\ ;\(&quot;$&quot;#,##0\)"/>
  </numFmts>
  <fonts count="45" x14ac:knownFonts="1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9"/>
      <name val="Arial"/>
      <family val="2"/>
    </font>
    <font>
      <sz val="11"/>
      <color indexed="9"/>
      <name val="Calibri"/>
      <family val="2"/>
    </font>
    <font>
      <sz val="10"/>
      <color indexed="20"/>
      <name val="Arial"/>
      <family val="2"/>
    </font>
    <font>
      <sz val="11"/>
      <color indexed="17"/>
      <name val="Calibri"/>
      <family val="2"/>
    </font>
    <font>
      <b/>
      <sz val="1"/>
      <color indexed="8"/>
      <name val="Courier"/>
      <family val="3"/>
    </font>
    <font>
      <b/>
      <sz val="10"/>
      <color indexed="52"/>
      <name val="Arial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0"/>
      <color indexed="9"/>
      <name val="Arial"/>
      <family val="2"/>
    </font>
    <font>
      <sz val="10"/>
      <color indexed="22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2"/>
      <name val="Helv"/>
    </font>
    <font>
      <i/>
      <sz val="10"/>
      <color indexed="23"/>
      <name val="Arial"/>
      <family val="2"/>
    </font>
    <font>
      <sz val="1"/>
      <color indexed="8"/>
      <name val="Courier"/>
      <family val="3"/>
    </font>
    <font>
      <sz val="10"/>
      <color indexed="17"/>
      <name val="Arial"/>
      <family val="2"/>
    </font>
    <font>
      <b/>
      <sz val="18"/>
      <color indexed="22"/>
      <name val="Arial"/>
      <family val="2"/>
    </font>
    <font>
      <b/>
      <sz val="12"/>
      <color indexed="22"/>
      <name val="Arial"/>
      <family val="2"/>
    </font>
    <font>
      <b/>
      <sz val="11"/>
      <color indexed="56"/>
      <name val="Arial"/>
      <family val="2"/>
    </font>
    <font>
      <sz val="11"/>
      <color indexed="20"/>
      <name val="Calibri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color indexed="60"/>
      <name val="Arial"/>
      <family val="2"/>
    </font>
    <font>
      <sz val="10"/>
      <name val="Verdana"/>
      <family val="2"/>
    </font>
    <font>
      <b/>
      <sz val="10"/>
      <color indexed="63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sz val="10"/>
      <color indexed="10"/>
      <name val="Arial"/>
      <family val="2"/>
    </font>
    <font>
      <sz val="8"/>
      <name val="Verdana"/>
      <family val="2"/>
    </font>
    <font>
      <b/>
      <sz val="10"/>
      <name val="Arial"/>
      <family val="2"/>
    </font>
    <font>
      <sz val="10"/>
      <name val="Arial"/>
      <family val="2"/>
    </font>
    <font>
      <b/>
      <sz val="14"/>
      <color indexed="9"/>
      <name val="Arial"/>
      <family val="2"/>
    </font>
    <font>
      <b/>
      <sz val="11"/>
      <color indexed="9"/>
      <name val="Arial"/>
      <family val="2"/>
    </font>
    <font>
      <b/>
      <sz val="12"/>
      <name val="Arial"/>
      <family val="2"/>
    </font>
    <font>
      <b/>
      <vertAlign val="superscript"/>
      <sz val="12"/>
      <name val="Arial"/>
      <family val="2"/>
    </font>
    <font>
      <b/>
      <sz val="10"/>
      <color theme="4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99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0" borderId="0">
      <protection locked="0"/>
    </xf>
    <xf numFmtId="0" fontId="8" fillId="0" borderId="0">
      <protection locked="0"/>
    </xf>
    <xf numFmtId="0" fontId="9" fillId="20" borderId="1" applyNumberFormat="0" applyAlignment="0" applyProtection="0"/>
    <xf numFmtId="0" fontId="10" fillId="20" borderId="1" applyNumberFormat="0" applyAlignment="0" applyProtection="0"/>
    <xf numFmtId="0" fontId="11" fillId="21" borderId="2" applyNumberFormat="0" applyAlignment="0" applyProtection="0"/>
    <xf numFmtId="0" fontId="12" fillId="0" borderId="3" applyNumberFormat="0" applyFill="0" applyAlignment="0" applyProtection="0"/>
    <xf numFmtId="0" fontId="13" fillId="21" borderId="2" applyNumberFormat="0" applyAlignment="0" applyProtection="0"/>
    <xf numFmtId="3" fontId="14" fillId="0" borderId="0" applyFont="0" applyFill="0" applyBorder="0" applyAlignment="0" applyProtection="0"/>
    <xf numFmtId="173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6" fillId="7" borderId="1" applyNumberFormat="0" applyAlignment="0" applyProtection="0"/>
    <xf numFmtId="0" fontId="17" fillId="0" borderId="0"/>
    <xf numFmtId="172" fontId="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>
      <protection locked="0"/>
    </xf>
    <xf numFmtId="169" fontId="19" fillId="0" borderId="0">
      <protection locked="0"/>
    </xf>
    <xf numFmtId="2" fontId="14" fillId="0" borderId="0" applyFont="0" applyFill="0" applyBorder="0" applyAlignment="0" applyProtection="0"/>
    <xf numFmtId="0" fontId="20" fillId="4" borderId="0" applyNumberFormat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4" applyNumberFormat="0" applyFill="0" applyAlignment="0" applyProtection="0"/>
    <xf numFmtId="0" fontId="23" fillId="0" borderId="0" applyNumberFormat="0" applyFill="0" applyBorder="0" applyAlignment="0" applyProtection="0"/>
    <xf numFmtId="0" fontId="24" fillId="3" borderId="0" applyNumberFormat="0" applyBorder="0" applyAlignment="0" applyProtection="0"/>
    <xf numFmtId="0" fontId="25" fillId="7" borderId="1" applyNumberFormat="0" applyAlignment="0" applyProtection="0"/>
    <xf numFmtId="0" fontId="26" fillId="0" borderId="3" applyNumberFormat="0" applyFill="0" applyAlignment="0" applyProtection="0"/>
    <xf numFmtId="164" fontId="1" fillId="0" borderId="0" applyFont="0" applyFill="0" applyBorder="0" applyAlignment="0" applyProtection="0"/>
    <xf numFmtId="164" fontId="39" fillId="0" borderId="0" applyFont="0" applyFill="0" applyBorder="0" applyAlignment="0" applyProtection="0"/>
    <xf numFmtId="168" fontId="19" fillId="0" borderId="0">
      <protection locked="0"/>
    </xf>
    <xf numFmtId="171" fontId="19" fillId="0" borderId="0">
      <protection locked="0"/>
    </xf>
    <xf numFmtId="0" fontId="27" fillId="22" borderId="0" applyNumberFormat="0" applyBorder="0" applyAlignment="0" applyProtection="0"/>
    <xf numFmtId="0" fontId="39" fillId="0" borderId="0"/>
    <xf numFmtId="0" fontId="28" fillId="0" borderId="0"/>
    <xf numFmtId="0" fontId="1" fillId="23" borderId="5" applyNumberFormat="0" applyFont="0" applyAlignment="0" applyProtection="0"/>
    <xf numFmtId="0" fontId="1" fillId="23" borderId="5" applyNumberFormat="0" applyFont="0" applyAlignment="0" applyProtection="0"/>
    <xf numFmtId="0" fontId="29" fillId="20" borderId="6" applyNumberFormat="0" applyAlignment="0" applyProtection="0"/>
    <xf numFmtId="167" fontId="19" fillId="0" borderId="0">
      <protection locked="0"/>
    </xf>
    <xf numFmtId="170" fontId="19" fillId="0" borderId="0">
      <protection locked="0"/>
    </xf>
    <xf numFmtId="0" fontId="30" fillId="20" borderId="6" applyNumberFormat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7" applyNumberFormat="0" applyFill="0" applyAlignment="0" applyProtection="0"/>
    <xf numFmtId="0" fontId="35" fillId="0" borderId="8" applyNumberFormat="0" applyFill="0" applyAlignment="0" applyProtection="0"/>
    <xf numFmtId="0" fontId="15" fillId="0" borderId="4" applyNumberFormat="0" applyFill="0" applyAlignment="0" applyProtection="0"/>
    <xf numFmtId="0" fontId="19" fillId="0" borderId="9">
      <protection locked="0"/>
    </xf>
    <xf numFmtId="0" fontId="36" fillId="0" borderId="0" applyNumberFormat="0" applyFill="0" applyBorder="0" applyAlignment="0" applyProtection="0"/>
  </cellStyleXfs>
  <cellXfs count="104">
    <xf numFmtId="0" fontId="0" fillId="0" borderId="0" xfId="0"/>
    <xf numFmtId="0" fontId="38" fillId="0" borderId="0" xfId="83" applyFont="1" applyBorder="1" applyAlignment="1">
      <alignment horizontal="center" vertical="center"/>
    </xf>
    <xf numFmtId="0" fontId="39" fillId="0" borderId="0" xfId="83" applyFont="1" applyFill="1" applyBorder="1" applyAlignment="1">
      <alignment vertical="center"/>
    </xf>
    <xf numFmtId="0" fontId="40" fillId="24" borderId="0" xfId="82" applyFont="1" applyFill="1" applyBorder="1" applyAlignment="1">
      <alignment horizontal="center" vertical="center" wrapText="1"/>
    </xf>
    <xf numFmtId="166" fontId="38" fillId="0" borderId="10" xfId="77" applyNumberFormat="1" applyFont="1" applyBorder="1" applyAlignment="1">
      <alignment horizontal="left" vertical="center"/>
    </xf>
    <xf numFmtId="165" fontId="38" fillId="0" borderId="10" xfId="77" applyNumberFormat="1" applyFont="1" applyBorder="1" applyAlignment="1">
      <alignment horizontal="right" vertical="center"/>
    </xf>
    <xf numFmtId="0" fontId="39" fillId="0" borderId="0" xfId="0" applyFont="1" applyFill="1" applyBorder="1" applyAlignment="1">
      <alignment horizontal="center" vertical="center"/>
    </xf>
    <xf numFmtId="166" fontId="38" fillId="0" borderId="11" xfId="77" applyNumberFormat="1" applyFont="1" applyBorder="1" applyAlignment="1">
      <alignment vertical="center"/>
    </xf>
    <xf numFmtId="165" fontId="38" fillId="0" borderId="11" xfId="77" applyNumberFormat="1" applyFont="1" applyBorder="1" applyAlignment="1">
      <alignment vertical="center"/>
    </xf>
    <xf numFmtId="165" fontId="39" fillId="0" borderId="11" xfId="0" applyNumberFormat="1" applyFont="1" applyBorder="1" applyAlignment="1">
      <alignment vertical="center"/>
    </xf>
    <xf numFmtId="165" fontId="38" fillId="0" borderId="11" xfId="77" applyNumberFormat="1" applyFont="1" applyBorder="1" applyAlignment="1">
      <alignment horizontal="left" vertical="center"/>
    </xf>
    <xf numFmtId="0" fontId="39" fillId="0" borderId="0" xfId="0" applyFont="1" applyFill="1" applyBorder="1" applyAlignment="1">
      <alignment vertical="center"/>
    </xf>
    <xf numFmtId="166" fontId="39" fillId="0" borderId="0" xfId="77" applyNumberFormat="1" applyFont="1" applyBorder="1" applyAlignment="1">
      <alignment horizontal="left" vertical="center" indent="1"/>
    </xf>
    <xf numFmtId="165" fontId="39" fillId="0" borderId="0" xfId="77" applyNumberFormat="1" applyFont="1" applyBorder="1" applyAlignment="1">
      <alignment vertical="center"/>
    </xf>
    <xf numFmtId="166" fontId="38" fillId="0" borderId="10" xfId="77" applyNumberFormat="1" applyFont="1" applyBorder="1" applyAlignment="1">
      <alignment vertical="center"/>
    </xf>
    <xf numFmtId="165" fontId="38" fillId="0" borderId="10" xfId="77" applyNumberFormat="1" applyFont="1" applyBorder="1" applyAlignment="1">
      <alignment vertical="center"/>
    </xf>
    <xf numFmtId="165" fontId="39" fillId="0" borderId="10" xfId="0" applyNumberFormat="1" applyFont="1" applyBorder="1" applyAlignment="1">
      <alignment vertical="center"/>
    </xf>
    <xf numFmtId="165" fontId="38" fillId="0" borderId="10" xfId="77" applyNumberFormat="1" applyFont="1" applyBorder="1" applyAlignment="1">
      <alignment horizontal="left" vertical="center"/>
    </xf>
    <xf numFmtId="165" fontId="39" fillId="0" borderId="0" xfId="78" applyNumberFormat="1" applyFont="1" applyBorder="1" applyAlignment="1">
      <alignment vertical="center"/>
    </xf>
    <xf numFmtId="165" fontId="39" fillId="0" borderId="0" xfId="78" applyNumberFormat="1" applyFont="1" applyBorder="1" applyAlignment="1">
      <alignment horizontal="right" vertical="center"/>
    </xf>
    <xf numFmtId="165" fontId="39" fillId="0" borderId="0" xfId="0" applyNumberFormat="1" applyFont="1" applyFill="1" applyBorder="1"/>
    <xf numFmtId="166" fontId="39" fillId="0" borderId="10" xfId="78" applyNumberFormat="1" applyFont="1" applyBorder="1" applyAlignment="1">
      <alignment horizontal="left" vertical="center" indent="1"/>
    </xf>
    <xf numFmtId="165" fontId="39" fillId="0" borderId="10" xfId="78" applyNumberFormat="1" applyFont="1" applyBorder="1" applyAlignment="1">
      <alignment vertical="center"/>
    </xf>
    <xf numFmtId="166" fontId="39" fillId="0" borderId="0" xfId="77" applyNumberFormat="1" applyFont="1" applyBorder="1" applyAlignment="1">
      <alignment vertical="center"/>
    </xf>
    <xf numFmtId="166" fontId="39" fillId="0" borderId="0" xfId="77" applyNumberFormat="1" applyFont="1" applyBorder="1" applyAlignment="1">
      <alignment horizontal="right" vertical="center"/>
    </xf>
    <xf numFmtId="0" fontId="39" fillId="0" borderId="0" xfId="0" applyFont="1" applyBorder="1" applyAlignment="1">
      <alignment horizontal="left" vertical="center" wrapText="1"/>
    </xf>
    <xf numFmtId="0" fontId="4" fillId="24" borderId="0" xfId="0" applyFont="1" applyFill="1" applyBorder="1" applyAlignment="1">
      <alignment horizontal="center" vertical="center"/>
    </xf>
    <xf numFmtId="0" fontId="39" fillId="0" borderId="0" xfId="0" applyFont="1" applyAlignment="1">
      <alignment vertical="center"/>
    </xf>
    <xf numFmtId="166" fontId="39" fillId="0" borderId="0" xfId="78" applyNumberFormat="1" applyFont="1" applyBorder="1" applyAlignment="1">
      <alignment horizontal="left" vertical="center" indent="1"/>
    </xf>
    <xf numFmtId="0" fontId="38" fillId="0" borderId="0" xfId="83" applyFont="1" applyFill="1" applyBorder="1" applyAlignment="1">
      <alignment horizontal="center" vertical="center"/>
    </xf>
    <xf numFmtId="0" fontId="42" fillId="25" borderId="10" xfId="83" applyFont="1" applyFill="1" applyBorder="1" applyAlignment="1">
      <alignment horizontal="center" vertical="center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1" fillId="0" borderId="0" xfId="83" applyFont="1" applyFill="1" applyBorder="1" applyAlignment="1">
      <alignment vertical="center"/>
    </xf>
    <xf numFmtId="0" fontId="39" fillId="0" borderId="0" xfId="0" applyFont="1" applyBorder="1" applyAlignment="1">
      <alignment horizontal="left" vertical="center" wrapText="1"/>
    </xf>
    <xf numFmtId="0" fontId="41" fillId="24" borderId="13" xfId="83" applyFont="1" applyFill="1" applyBorder="1" applyAlignment="1">
      <alignment horizontal="center" vertical="center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165" fontId="38" fillId="0" borderId="10" xfId="77" applyNumberFormat="1" applyFont="1" applyFill="1" applyBorder="1" applyAlignment="1">
      <alignment horizontal="right" vertical="center"/>
    </xf>
    <xf numFmtId="165" fontId="38" fillId="0" borderId="11" xfId="77" applyNumberFormat="1" applyFont="1" applyFill="1" applyBorder="1" applyAlignment="1">
      <alignment horizontal="left" vertical="center"/>
    </xf>
    <xf numFmtId="165" fontId="39" fillId="0" borderId="0" xfId="77" applyNumberFormat="1" applyFont="1" applyFill="1" applyBorder="1" applyAlignment="1">
      <alignment vertical="center"/>
    </xf>
    <xf numFmtId="165" fontId="38" fillId="0" borderId="10" xfId="77" applyNumberFormat="1" applyFont="1" applyFill="1" applyBorder="1" applyAlignment="1">
      <alignment horizontal="left" vertical="center"/>
    </xf>
    <xf numFmtId="165" fontId="39" fillId="0" borderId="10" xfId="0" applyNumberFormat="1" applyFont="1" applyFill="1" applyBorder="1" applyAlignment="1">
      <alignment vertical="center"/>
    </xf>
    <xf numFmtId="165" fontId="1" fillId="0" borderId="0" xfId="77" applyNumberFormat="1" applyFont="1" applyFill="1" applyBorder="1" applyAlignment="1">
      <alignment horizontal="right" vertical="center"/>
    </xf>
    <xf numFmtId="165" fontId="39" fillId="0" borderId="0" xfId="77" applyNumberFormat="1" applyFont="1" applyFill="1" applyBorder="1" applyAlignment="1">
      <alignment horizontal="right" vertical="center"/>
    </xf>
    <xf numFmtId="165" fontId="39" fillId="0" borderId="10" xfId="78" applyNumberFormat="1" applyFont="1" applyFill="1" applyBorder="1" applyAlignment="1">
      <alignment horizontal="right" vertical="center"/>
    </xf>
    <xf numFmtId="165" fontId="38" fillId="0" borderId="11" xfId="77" applyNumberFormat="1" applyFont="1" applyBorder="1" applyAlignment="1">
      <alignment horizontal="center" vertical="center"/>
    </xf>
    <xf numFmtId="165" fontId="38" fillId="0" borderId="10" xfId="77" applyNumberFormat="1" applyFont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165" fontId="38" fillId="0" borderId="11" xfId="77" applyNumberFormat="1" applyFont="1" applyBorder="1" applyAlignment="1">
      <alignment horizontal="right"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left" vertical="center" wrapText="1"/>
    </xf>
    <xf numFmtId="165" fontId="1" fillId="0" borderId="0" xfId="77" applyNumberFormat="1" applyFont="1" applyBorder="1" applyAlignment="1">
      <alignment vertical="center"/>
    </xf>
    <xf numFmtId="165" fontId="1" fillId="0" borderId="0" xfId="78" applyNumberFormat="1" applyFont="1" applyBorder="1" applyAlignment="1">
      <alignment vertical="center"/>
    </xf>
    <xf numFmtId="165" fontId="1" fillId="0" borderId="10" xfId="78" applyNumberFormat="1" applyFont="1" applyBorder="1" applyAlignment="1">
      <alignment vertical="center"/>
    </xf>
    <xf numFmtId="165" fontId="1" fillId="0" borderId="0" xfId="0" applyNumberFormat="1" applyFont="1" applyFill="1" applyBorder="1"/>
    <xf numFmtId="165" fontId="1" fillId="0" borderId="10" xfId="0" applyNumberFormat="1" applyFont="1" applyBorder="1" applyAlignment="1">
      <alignment vertical="center"/>
    </xf>
    <xf numFmtId="166" fontId="1" fillId="0" borderId="0" xfId="77" applyNumberFormat="1" applyFont="1" applyBorder="1" applyAlignment="1">
      <alignment vertical="center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166" fontId="38" fillId="26" borderId="0" xfId="78" applyNumberFormat="1" applyFont="1" applyFill="1" applyBorder="1" applyAlignment="1">
      <alignment horizontal="right" vertical="center"/>
    </xf>
    <xf numFmtId="0" fontId="4" fillId="24" borderId="0" xfId="0" applyFont="1" applyFill="1" applyBorder="1" applyAlignment="1">
      <alignment horizontal="left" vertical="center"/>
    </xf>
    <xf numFmtId="0" fontId="44" fillId="0" borderId="0" xfId="83" applyFont="1" applyBorder="1" applyAlignment="1">
      <alignment horizontal="left" vertical="center"/>
    </xf>
    <xf numFmtId="0" fontId="40" fillId="24" borderId="0" xfId="82" applyFont="1" applyFill="1" applyBorder="1" applyAlignment="1">
      <alignment horizontal="left" vertical="center" wrapText="1"/>
    </xf>
    <xf numFmtId="0" fontId="41" fillId="24" borderId="13" xfId="83" applyFont="1" applyFill="1" applyBorder="1" applyAlignment="1">
      <alignment horizontal="left" vertical="center"/>
    </xf>
    <xf numFmtId="0" fontId="2" fillId="0" borderId="12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left" vertical="center" wrapText="1"/>
    </xf>
  </cellXfs>
  <cellStyles count="99">
    <cellStyle name="20% - Accent1" xfId="1"/>
    <cellStyle name="20% - Accent2" xfId="2"/>
    <cellStyle name="20% - Accent3" xfId="3"/>
    <cellStyle name="20% - Accent4" xfId="4"/>
    <cellStyle name="20% - Accent5" xfId="5"/>
    <cellStyle name="20% - Accent6" xfId="6"/>
    <cellStyle name="20% - Énfasis1" xfId="7" builtinId="30" customBuiltin="1"/>
    <cellStyle name="20% - Énfasis2" xfId="8" builtinId="34" customBuiltin="1"/>
    <cellStyle name="20% - Énfasis3" xfId="9" builtinId="38" customBuiltin="1"/>
    <cellStyle name="20% - Énfasis4" xfId="10" builtinId="42" customBuiltin="1"/>
    <cellStyle name="20% - Énfasis5" xfId="11" builtinId="46" customBuiltin="1"/>
    <cellStyle name="20% - Énfasis6" xfId="12" builtinId="50" customBuiltin="1"/>
    <cellStyle name="40% - Accent1" xfId="13"/>
    <cellStyle name="40% - Accent2" xfId="14"/>
    <cellStyle name="40% - Accent3" xfId="15"/>
    <cellStyle name="40% - Accent4" xfId="16"/>
    <cellStyle name="40% - Accent5" xfId="17"/>
    <cellStyle name="40% - Accent6" xfId="18"/>
    <cellStyle name="40% - Énfasis1" xfId="19" builtinId="31" customBuiltin="1"/>
    <cellStyle name="40% - Énfasis2" xfId="20" builtinId="35" customBuiltin="1"/>
    <cellStyle name="40% - Énfasis3" xfId="21" builtinId="39" customBuiltin="1"/>
    <cellStyle name="40% - Énfasis4" xfId="22" builtinId="43" customBuiltin="1"/>
    <cellStyle name="40% - Énfasis5" xfId="23" builtinId="47" customBuiltin="1"/>
    <cellStyle name="40% - Énfasis6" xfId="24" builtinId="51" customBuiltin="1"/>
    <cellStyle name="60% - Accent1" xfId="25"/>
    <cellStyle name="60% - Accent2" xfId="26"/>
    <cellStyle name="60% - Accent3" xfId="27"/>
    <cellStyle name="60% - Accent4" xfId="28"/>
    <cellStyle name="60% - Accent5" xfId="29"/>
    <cellStyle name="60% - Accent6" xfId="30"/>
    <cellStyle name="60% - Énfasis1" xfId="31" builtinId="32" customBuiltin="1"/>
    <cellStyle name="60% - Énfasis2" xfId="32" builtinId="36" customBuiltin="1"/>
    <cellStyle name="60% - Énfasis3" xfId="33" builtinId="40" customBuiltin="1"/>
    <cellStyle name="60% - Énfasis4" xfId="34" builtinId="44" customBuiltin="1"/>
    <cellStyle name="60% - Énfasis5" xfId="35" builtinId="48" customBuiltin="1"/>
    <cellStyle name="60% - Énfasis6" xfId="36" builtinId="52" customBuiltin="1"/>
    <cellStyle name="Accent1" xfId="37"/>
    <cellStyle name="Accent2" xfId="38"/>
    <cellStyle name="Accent3" xfId="39"/>
    <cellStyle name="Accent4" xfId="40"/>
    <cellStyle name="Accent5" xfId="41"/>
    <cellStyle name="Accent6" xfId="42"/>
    <cellStyle name="Bad" xfId="43"/>
    <cellStyle name="Bueno" xfId="44" builtinId="26" customBuiltin="1"/>
    <cellStyle name="Cabecera 1" xfId="45"/>
    <cellStyle name="Cabecera 2" xfId="46"/>
    <cellStyle name="Calculation" xfId="47"/>
    <cellStyle name="Cálculo" xfId="48" builtinId="22" customBuiltin="1"/>
    <cellStyle name="Celda de comprobación" xfId="49" builtinId="23" customBuiltin="1"/>
    <cellStyle name="Celda vinculada" xfId="50" builtinId="24" customBuiltin="1"/>
    <cellStyle name="Check Cell" xfId="51"/>
    <cellStyle name="Comma0" xfId="52"/>
    <cellStyle name="Currency0" xfId="53"/>
    <cellStyle name="Date" xfId="54"/>
    <cellStyle name="Encabezado 1" xfId="94" builtinId="16" customBuiltin="1"/>
    <cellStyle name="Encabezado 4" xfId="55" builtinId="19" customBuiltin="1"/>
    <cellStyle name="Énfasis1" xfId="56" builtinId="29" customBuiltin="1"/>
    <cellStyle name="Énfasis2" xfId="57" builtinId="33" customBuiltin="1"/>
    <cellStyle name="Énfasis3" xfId="58" builtinId="37" customBuiltin="1"/>
    <cellStyle name="Énfasis4" xfId="59" builtinId="41" customBuiltin="1"/>
    <cellStyle name="Énfasis5" xfId="60" builtinId="45" customBuiltin="1"/>
    <cellStyle name="Énfasis6" xfId="61" builtinId="49" customBuiltin="1"/>
    <cellStyle name="Entrada" xfId="62" builtinId="20" customBuiltin="1"/>
    <cellStyle name="ESTI1 - Modelo1" xfId="63"/>
    <cellStyle name="Euro" xfId="64"/>
    <cellStyle name="Explanatory Text" xfId="65"/>
    <cellStyle name="Fecha" xfId="66"/>
    <cellStyle name="Fijo" xfId="67"/>
    <cellStyle name="Fixed" xfId="68"/>
    <cellStyle name="Good" xfId="69"/>
    <cellStyle name="Heading 1" xfId="70"/>
    <cellStyle name="Heading 2" xfId="71"/>
    <cellStyle name="Heading 3" xfId="72"/>
    <cellStyle name="Heading 4" xfId="73"/>
    <cellStyle name="Incorrecto" xfId="74" builtinId="27" customBuiltin="1"/>
    <cellStyle name="Input" xfId="75"/>
    <cellStyle name="Linked Cell" xfId="76"/>
    <cellStyle name="Millares" xfId="77" builtinId="3"/>
    <cellStyle name="Millares 3" xfId="78"/>
    <cellStyle name="Monetario" xfId="79"/>
    <cellStyle name="Monetario0" xfId="80"/>
    <cellStyle name="Neutral" xfId="81" builtinId="28" customBuiltin="1"/>
    <cellStyle name="Normal" xfId="0" builtinId="0"/>
    <cellStyle name="Normal_C1 (2)" xfId="82"/>
    <cellStyle name="Normal_Cuadros tasas trimestrales" xfId="83"/>
    <cellStyle name="Notas" xfId="84" builtinId="10" customBuiltin="1"/>
    <cellStyle name="Note" xfId="85"/>
    <cellStyle name="Output" xfId="86"/>
    <cellStyle name="Punto" xfId="87"/>
    <cellStyle name="Punto0" xfId="88"/>
    <cellStyle name="Salida" xfId="89" builtinId="21" customBuiltin="1"/>
    <cellStyle name="Texto de advertencia" xfId="90" builtinId="11" customBuiltin="1"/>
    <cellStyle name="Texto explicativo" xfId="91" builtinId="53" customBuiltin="1"/>
    <cellStyle name="Title" xfId="92"/>
    <cellStyle name="Título" xfId="93" builtinId="15" customBuiltin="1"/>
    <cellStyle name="Título 2" xfId="95" builtinId="17" customBuiltin="1"/>
    <cellStyle name="Título 3" xfId="96" builtinId="18" customBuiltin="1"/>
    <cellStyle name="Total" xfId="97" builtinId="25" customBuiltin="1"/>
    <cellStyle name="Warning Text" xfId="9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2_DNRMT\ESTUDIOS\PROVI\GRAL\CUADROS\C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1_DNRMT\ESTUDIOS\PROVI\GRAL\CUADROS\C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p pre"/>
      <sheetName val="c3_ fto"/>
      <sheetName val="C3 Base Tran"/>
      <sheetName val="pbg pbgpc "/>
      <sheetName val="pbg1 pbg2 pbg3"/>
      <sheetName val="vab rem"/>
      <sheetName val="ex"/>
      <sheetName val="pre1_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p pre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J85"/>
  <sheetViews>
    <sheetView showGridLines="0" tabSelected="1" zoomScale="85" zoomScaleNormal="85" workbookViewId="0">
      <selection activeCell="A4" sqref="A4"/>
    </sheetView>
  </sheetViews>
  <sheetFormatPr baseColWidth="10" defaultColWidth="11.453125" defaultRowHeight="0" customHeight="1" zeroHeight="1" x14ac:dyDescent="0.25"/>
  <cols>
    <col min="1" max="1" width="40" style="27" customWidth="1"/>
    <col min="2" max="11" width="19.54296875" style="59" customWidth="1"/>
    <col min="12" max="62" width="19.54296875" style="27" customWidth="1"/>
    <col min="63" max="63" width="19.54296875" style="61" customWidth="1"/>
    <col min="64" max="88" width="19.54296875" style="27" customWidth="1"/>
    <col min="89" max="16384" width="11.453125" style="11"/>
  </cols>
  <sheetData>
    <row r="1" spans="1:88" s="2" customFormat="1" ht="22.5" customHeight="1" x14ac:dyDescent="0.25">
      <c r="A1" s="96" t="s">
        <v>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 ht="50.15" customHeight="1" x14ac:dyDescent="0.25">
      <c r="A2" s="97" t="s">
        <v>112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</row>
    <row r="3" spans="1:88" s="2" customFormat="1" ht="24" customHeight="1" x14ac:dyDescent="0.25">
      <c r="A3" s="98" t="s">
        <v>1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M3" s="35"/>
      <c r="BN3" s="35"/>
      <c r="BO3" s="35"/>
      <c r="BP3" s="35"/>
      <c r="BQ3" s="35"/>
      <c r="BR3" s="35"/>
      <c r="BS3" s="35"/>
      <c r="BT3" s="35"/>
      <c r="BU3" s="35"/>
      <c r="BV3" s="35"/>
      <c r="BW3" s="35"/>
      <c r="BX3" s="35"/>
      <c r="BY3" s="35"/>
      <c r="BZ3" s="35"/>
      <c r="CA3" s="35"/>
      <c r="CB3" s="35"/>
      <c r="CC3" s="35"/>
      <c r="CD3" s="35"/>
      <c r="CE3" s="35"/>
      <c r="CF3" s="35"/>
      <c r="CG3" s="35"/>
      <c r="CH3" s="35"/>
      <c r="CI3" s="35"/>
      <c r="CJ3" s="35"/>
    </row>
    <row r="4" spans="1:88" s="29" customFormat="1" ht="30" customHeight="1" thickBot="1" x14ac:dyDescent="0.3">
      <c r="A4" s="30" t="s">
        <v>124</v>
      </c>
      <c r="B4" s="30" t="s">
        <v>86</v>
      </c>
      <c r="C4" s="30" t="s">
        <v>87</v>
      </c>
      <c r="D4" s="30" t="s">
        <v>88</v>
      </c>
      <c r="E4" s="30" t="s">
        <v>89</v>
      </c>
      <c r="F4" s="30" t="s">
        <v>90</v>
      </c>
      <c r="G4" s="30" t="s">
        <v>91</v>
      </c>
      <c r="H4" s="30" t="s">
        <v>92</v>
      </c>
      <c r="I4" s="30" t="s">
        <v>93</v>
      </c>
      <c r="J4" s="30" t="s">
        <v>94</v>
      </c>
      <c r="K4" s="30" t="s">
        <v>95</v>
      </c>
      <c r="L4" s="30" t="s">
        <v>23</v>
      </c>
      <c r="M4" s="30" t="s">
        <v>24</v>
      </c>
      <c r="N4" s="30" t="s">
        <v>25</v>
      </c>
      <c r="O4" s="30" t="s">
        <v>26</v>
      </c>
      <c r="P4" s="30" t="s">
        <v>27</v>
      </c>
      <c r="Q4" s="30" t="s">
        <v>38</v>
      </c>
      <c r="R4" s="30" t="s">
        <v>68</v>
      </c>
      <c r="S4" s="30" t="s">
        <v>39</v>
      </c>
      <c r="T4" s="30" t="s">
        <v>40</v>
      </c>
      <c r="U4" s="30" t="s">
        <v>41</v>
      </c>
      <c r="V4" s="30" t="s">
        <v>42</v>
      </c>
      <c r="W4" s="30" t="s">
        <v>43</v>
      </c>
      <c r="X4" s="30" t="s">
        <v>44</v>
      </c>
      <c r="Y4" s="30" t="s">
        <v>45</v>
      </c>
      <c r="Z4" s="30" t="s">
        <v>46</v>
      </c>
      <c r="AA4" s="30" t="s">
        <v>47</v>
      </c>
      <c r="AB4" s="30" t="s">
        <v>48</v>
      </c>
      <c r="AC4" s="30" t="s">
        <v>49</v>
      </c>
      <c r="AD4" s="30" t="s">
        <v>50</v>
      </c>
      <c r="AE4" s="30" t="s">
        <v>51</v>
      </c>
      <c r="AF4" s="30" t="s">
        <v>52</v>
      </c>
      <c r="AG4" s="30" t="s">
        <v>53</v>
      </c>
      <c r="AH4" s="30" t="s">
        <v>54</v>
      </c>
      <c r="AI4" s="30" t="s">
        <v>55</v>
      </c>
      <c r="AJ4" s="30" t="s">
        <v>56</v>
      </c>
      <c r="AK4" s="30" t="s">
        <v>57</v>
      </c>
      <c r="AL4" s="30" t="s">
        <v>58</v>
      </c>
      <c r="AM4" s="30" t="s">
        <v>59</v>
      </c>
      <c r="AN4" s="30" t="s">
        <v>60</v>
      </c>
      <c r="AO4" s="30" t="s">
        <v>61</v>
      </c>
      <c r="AP4" s="30" t="s">
        <v>62</v>
      </c>
      <c r="AQ4" s="30" t="s">
        <v>63</v>
      </c>
      <c r="AR4" s="30" t="s">
        <v>77</v>
      </c>
      <c r="AS4" s="30" t="s">
        <v>64</v>
      </c>
      <c r="AT4" s="30" t="s">
        <v>65</v>
      </c>
      <c r="AU4" s="30" t="s">
        <v>66</v>
      </c>
      <c r="AV4" s="30" t="s">
        <v>67</v>
      </c>
      <c r="AW4" s="30" t="s">
        <v>78</v>
      </c>
      <c r="AX4" s="30" t="s">
        <v>79</v>
      </c>
      <c r="AY4" s="30" t="s">
        <v>80</v>
      </c>
      <c r="AZ4" s="30" t="s">
        <v>81</v>
      </c>
      <c r="BA4" s="30" t="s">
        <v>36</v>
      </c>
      <c r="BB4" s="30" t="s">
        <v>37</v>
      </c>
      <c r="BC4" s="30" t="s">
        <v>69</v>
      </c>
      <c r="BD4" s="30" t="s">
        <v>70</v>
      </c>
      <c r="BE4" s="30" t="s">
        <v>71</v>
      </c>
      <c r="BF4" s="30" t="s">
        <v>72</v>
      </c>
      <c r="BG4" s="30" t="s">
        <v>73</v>
      </c>
      <c r="BH4" s="30" t="s">
        <v>74</v>
      </c>
      <c r="BI4" s="30" t="s">
        <v>75</v>
      </c>
      <c r="BJ4" s="30" t="s">
        <v>76</v>
      </c>
      <c r="BK4" s="30" t="s">
        <v>96</v>
      </c>
      <c r="BL4" s="30" t="s">
        <v>97</v>
      </c>
      <c r="BM4" s="30" t="s">
        <v>98</v>
      </c>
      <c r="BN4" s="30" t="s">
        <v>99</v>
      </c>
      <c r="BO4" s="30" t="s">
        <v>100</v>
      </c>
      <c r="BP4" s="30" t="s">
        <v>101</v>
      </c>
      <c r="BQ4" s="30" t="s">
        <v>102</v>
      </c>
      <c r="BR4" s="30" t="s">
        <v>103</v>
      </c>
      <c r="BS4" s="30" t="s">
        <v>104</v>
      </c>
      <c r="BT4" s="30" t="s">
        <v>105</v>
      </c>
      <c r="BU4" s="30" t="s">
        <v>106</v>
      </c>
      <c r="BV4" s="30" t="s">
        <v>107</v>
      </c>
      <c r="BW4" s="30" t="s">
        <v>108</v>
      </c>
      <c r="BX4" s="30" t="s">
        <v>109</v>
      </c>
      <c r="BY4" s="30" t="s">
        <v>110</v>
      </c>
      <c r="BZ4" s="30" t="s">
        <v>111</v>
      </c>
      <c r="CA4" s="30" t="s">
        <v>113</v>
      </c>
      <c r="CB4" s="30" t="s">
        <v>114</v>
      </c>
      <c r="CC4" s="30" t="s">
        <v>115</v>
      </c>
      <c r="CD4" s="30" t="s">
        <v>116</v>
      </c>
      <c r="CE4" s="30" t="s">
        <v>117</v>
      </c>
      <c r="CF4" s="30" t="s">
        <v>118</v>
      </c>
      <c r="CG4" s="30" t="s">
        <v>120</v>
      </c>
      <c r="CH4" s="30" t="s">
        <v>121</v>
      </c>
      <c r="CI4" s="30" t="s">
        <v>122</v>
      </c>
      <c r="CJ4" s="30" t="s">
        <v>123</v>
      </c>
    </row>
    <row r="5" spans="1:88" s="6" customFormat="1" ht="30" customHeight="1" thickBot="1" x14ac:dyDescent="0.3">
      <c r="A5" s="4" t="s">
        <v>2</v>
      </c>
      <c r="B5" s="5">
        <v>16.535711916597602</v>
      </c>
      <c r="C5" s="5">
        <v>16.170225964168296</v>
      </c>
      <c r="D5" s="5">
        <v>15.439990813719936</v>
      </c>
      <c r="E5" s="5">
        <v>15.105505525119186</v>
      </c>
      <c r="F5" s="5">
        <v>15.031435010985616</v>
      </c>
      <c r="G5" s="5">
        <v>14.119129675020284</v>
      </c>
      <c r="H5" s="5">
        <v>12.463887534121215</v>
      </c>
      <c r="I5" s="5">
        <v>12.752397062907411</v>
      </c>
      <c r="J5" s="5">
        <v>12.96937772578633</v>
      </c>
      <c r="K5" s="5">
        <v>11.82276423437334</v>
      </c>
      <c r="L5" s="5">
        <v>10.975177719604021</v>
      </c>
      <c r="M5" s="5">
        <v>12.05142882582629</v>
      </c>
      <c r="N5" s="5">
        <v>10.8532474874181</v>
      </c>
      <c r="O5" s="5">
        <v>10.741464624671799</v>
      </c>
      <c r="P5" s="5">
        <v>9.2714701792718763</v>
      </c>
      <c r="Q5" s="5">
        <v>10.001127029043296</v>
      </c>
      <c r="R5" s="94">
        <f>+(Q5+S5)/2</f>
        <v>9.5552401240231628</v>
      </c>
      <c r="S5" s="5">
        <v>9.1093532190030295</v>
      </c>
      <c r="T5" s="5">
        <v>8.2652787881281373</v>
      </c>
      <c r="U5" s="5">
        <v>8.6654362188697895</v>
      </c>
      <c r="V5" s="5">
        <v>9.3847496526242171</v>
      </c>
      <c r="W5" s="5">
        <v>9.1256417508794154</v>
      </c>
      <c r="X5" s="5">
        <v>9.0409203789781376</v>
      </c>
      <c r="Y5" s="5">
        <v>10.513261911618503</v>
      </c>
      <c r="Z5" s="5">
        <v>10.576458426495956</v>
      </c>
      <c r="AA5" s="5">
        <v>10.294949696097877</v>
      </c>
      <c r="AB5" s="5">
        <v>9.2377579998974646</v>
      </c>
      <c r="AC5" s="5">
        <v>9.8829431145836057</v>
      </c>
      <c r="AD5" s="5">
        <v>8.8104548095390847</v>
      </c>
      <c r="AE5" s="5">
        <v>8.3590153104610572</v>
      </c>
      <c r="AF5" s="5">
        <v>8.220527382062242</v>
      </c>
      <c r="AG5" s="5">
        <v>8.4014293202048957</v>
      </c>
      <c r="AH5" s="5">
        <v>8.7981275073003591</v>
      </c>
      <c r="AI5" s="5">
        <v>8.556813733393156</v>
      </c>
      <c r="AJ5" s="5">
        <v>7.4253592384195137</v>
      </c>
      <c r="AK5" s="5">
        <v>9.3856773399521121</v>
      </c>
      <c r="AL5" s="5">
        <v>8.9073733299531881</v>
      </c>
      <c r="AM5" s="5">
        <v>9.0196720626049629</v>
      </c>
      <c r="AN5" s="5">
        <v>7.9510815800000003</v>
      </c>
      <c r="AO5" s="5">
        <v>9.7165188199999992</v>
      </c>
      <c r="AP5" s="5">
        <v>8.7589662373396919</v>
      </c>
      <c r="AQ5" s="60">
        <v>7.782772637447664</v>
      </c>
      <c r="AR5" s="60">
        <v>8.0823093239678698</v>
      </c>
      <c r="AS5" s="5">
        <v>9.3766781964177497</v>
      </c>
      <c r="AT5" s="5">
        <v>9.2498899531074574</v>
      </c>
      <c r="AU5" s="5">
        <v>9.0749325821374747</v>
      </c>
      <c r="AV5" s="5">
        <v>7.593118352614785</v>
      </c>
      <c r="AW5" s="5">
        <v>9.0358597528769611</v>
      </c>
      <c r="AX5" s="94">
        <f>+(AW5+BA5)/2</f>
        <v>10.119194218559477</v>
      </c>
      <c r="AY5" s="94">
        <f>+(AX5+BA5)/2</f>
        <v>10.660861451400734</v>
      </c>
      <c r="AZ5" s="94">
        <f>+(AY5+BA5)/2</f>
        <v>10.931695067821362</v>
      </c>
      <c r="BA5" s="40">
        <v>11.202528684241992</v>
      </c>
      <c r="BB5" s="5">
        <v>10.154344803959804</v>
      </c>
      <c r="BC5" s="5">
        <v>10.309745638942189</v>
      </c>
      <c r="BD5" s="5">
        <v>9.938135102574936</v>
      </c>
      <c r="BE5" s="5">
        <v>10.980055706557657</v>
      </c>
      <c r="BF5" s="5">
        <v>10.825578478073856</v>
      </c>
      <c r="BG5" s="5">
        <v>10.183452083452957</v>
      </c>
      <c r="BH5" s="5">
        <v>9.7862083375284037</v>
      </c>
      <c r="BI5" s="5">
        <v>11.23039043602755</v>
      </c>
      <c r="BJ5" s="5">
        <v>11.829257430502592</v>
      </c>
      <c r="BK5" s="5">
        <v>11.993973726241574</v>
      </c>
      <c r="BL5" s="5">
        <v>11.760394657907195</v>
      </c>
      <c r="BM5" s="5">
        <v>13.13707666316885</v>
      </c>
      <c r="BN5" s="5">
        <v>12.765314523671483</v>
      </c>
      <c r="BO5" s="5">
        <v>13.056049244315687</v>
      </c>
      <c r="BP5" s="5">
        <v>11.676559777810153</v>
      </c>
      <c r="BQ5" s="5">
        <v>9.598120530060493</v>
      </c>
      <c r="BR5" s="5">
        <v>13.421439483493163</v>
      </c>
      <c r="BS5" s="5">
        <v>15.102254299497528</v>
      </c>
      <c r="BT5" s="5">
        <v>11.937697868567884</v>
      </c>
      <c r="BU5" s="5">
        <v>12.409998746037228</v>
      </c>
      <c r="BV5" s="5">
        <v>12.18918047731243</v>
      </c>
      <c r="BW5" s="5">
        <v>12.119160988463861</v>
      </c>
      <c r="BX5" s="5">
        <v>10.014082538059411</v>
      </c>
      <c r="BY5" s="5">
        <v>11.127060973060576</v>
      </c>
      <c r="BZ5" s="5">
        <v>11.032729951036876</v>
      </c>
      <c r="CA5" s="5">
        <v>10.886595482245632</v>
      </c>
      <c r="CB5" s="5">
        <v>9.4065942692586049</v>
      </c>
      <c r="CC5" s="5">
        <v>10.615562873119835</v>
      </c>
      <c r="CD5" s="5">
        <v>10.321922174759884</v>
      </c>
      <c r="CE5" s="5">
        <v>10.471160120298576</v>
      </c>
      <c r="CF5" s="5">
        <v>10.166171789240657</v>
      </c>
      <c r="CG5" s="5">
        <v>11.810732659318244</v>
      </c>
      <c r="CH5" s="5">
        <v>11.362355554868575</v>
      </c>
      <c r="CI5" s="5">
        <v>11.293916679642676</v>
      </c>
      <c r="CJ5" s="5">
        <v>9.9803362053843578</v>
      </c>
    </row>
    <row r="6" spans="1:88" ht="20.149999999999999" customHeight="1" thickBot="1" x14ac:dyDescent="0.3">
      <c r="A6" s="7" t="s">
        <v>3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48"/>
      <c r="S6" s="8"/>
      <c r="T6" s="8"/>
      <c r="U6" s="8"/>
      <c r="V6" s="8"/>
      <c r="W6" s="8"/>
      <c r="X6" s="9"/>
      <c r="Y6" s="9"/>
      <c r="Z6" s="9"/>
      <c r="AA6" s="9"/>
      <c r="AB6" s="9"/>
      <c r="AC6" s="9"/>
      <c r="AD6" s="9"/>
      <c r="AE6" s="9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48"/>
      <c r="AY6" s="48"/>
      <c r="AZ6" s="48"/>
      <c r="BA6" s="41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</row>
    <row r="7" spans="1:88" ht="20.149999999999999" customHeight="1" x14ac:dyDescent="0.25">
      <c r="A7" s="12" t="s">
        <v>4</v>
      </c>
      <c r="B7" s="63">
        <v>14.629307300847982</v>
      </c>
      <c r="C7" s="63">
        <v>13.747672032203775</v>
      </c>
      <c r="D7" s="63">
        <v>13.267784879376757</v>
      </c>
      <c r="E7" s="63">
        <v>12.227683292748383</v>
      </c>
      <c r="F7" s="63">
        <v>12.53930703880852</v>
      </c>
      <c r="G7" s="63">
        <v>11.420699170166575</v>
      </c>
      <c r="H7" s="63">
        <v>9.9616735716018638</v>
      </c>
      <c r="I7" s="63">
        <v>10.419979795998016</v>
      </c>
      <c r="J7" s="63">
        <v>10.725824618601825</v>
      </c>
      <c r="K7" s="63">
        <v>9.5475105282171757</v>
      </c>
      <c r="L7" s="13">
        <v>8.7498616487861121</v>
      </c>
      <c r="M7" s="13">
        <v>9.5580708667702421</v>
      </c>
      <c r="N7" s="13">
        <v>8.244040063569317</v>
      </c>
      <c r="O7" s="13">
        <v>8.7677091265127327</v>
      </c>
      <c r="P7" s="13">
        <v>7.2383537382937169</v>
      </c>
      <c r="Q7" s="13">
        <v>7.9154462809569299</v>
      </c>
      <c r="R7" s="94">
        <f t="shared" ref="R7:R8" si="0">+(Q7+S7)/2</f>
        <v>7.3769703289877313</v>
      </c>
      <c r="S7" s="13">
        <v>6.8384943770185318</v>
      </c>
      <c r="T7" s="13">
        <v>6.3721924506755458</v>
      </c>
      <c r="U7" s="13">
        <v>6.9817008673577323</v>
      </c>
      <c r="V7" s="13">
        <v>7.129746392259019</v>
      </c>
      <c r="W7" s="13">
        <v>7.3674150770096842</v>
      </c>
      <c r="X7" s="13">
        <v>7.0779811626076148</v>
      </c>
      <c r="Y7" s="13">
        <v>8.150503501617905</v>
      </c>
      <c r="Z7" s="13">
        <v>8.8270568555300635</v>
      </c>
      <c r="AA7" s="13">
        <v>8.177771727409139</v>
      </c>
      <c r="AB7" s="13">
        <v>7.4916343185518546</v>
      </c>
      <c r="AC7" s="13">
        <v>7.9479064722261779</v>
      </c>
      <c r="AD7" s="13">
        <v>7.1703161971230944</v>
      </c>
      <c r="AE7" s="13">
        <v>6.3241729681591297</v>
      </c>
      <c r="AF7" s="13">
        <v>7.001164413176526</v>
      </c>
      <c r="AG7" s="13">
        <v>6.2388575970374252</v>
      </c>
      <c r="AH7" s="13">
        <v>6.8920542196809942</v>
      </c>
      <c r="AI7" s="13">
        <v>6.5677212729588836</v>
      </c>
      <c r="AJ7" s="13">
        <v>6.0950354573422603</v>
      </c>
      <c r="AK7" s="13">
        <v>7.0133743792895054</v>
      </c>
      <c r="AL7" s="13">
        <v>7.182061222580101</v>
      </c>
      <c r="AM7" s="13">
        <v>7.1587761341814646</v>
      </c>
      <c r="AN7" s="13">
        <v>6.7675439400000004</v>
      </c>
      <c r="AO7" s="13">
        <v>8.1015816199999993</v>
      </c>
      <c r="AP7" s="13">
        <v>7.170905208243088</v>
      </c>
      <c r="AQ7" s="13">
        <v>5.9647037495138759</v>
      </c>
      <c r="AR7" s="13">
        <v>6.2455376651609402</v>
      </c>
      <c r="AS7" s="13">
        <v>7.4486865375484408</v>
      </c>
      <c r="AT7" s="13">
        <v>7.413512125465294</v>
      </c>
      <c r="AU7" s="13">
        <v>7.2982622200242968</v>
      </c>
      <c r="AV7" s="13">
        <v>6.1795015475371775</v>
      </c>
      <c r="AW7" s="13">
        <v>7.160377871880713</v>
      </c>
      <c r="AX7" s="94">
        <f t="shared" ref="AX7:AX8" si="1">+(AW7+BA7)/2</f>
        <v>8.1706647058225421</v>
      </c>
      <c r="AY7" s="94">
        <f t="shared" ref="AY7:AY8" si="2">+(AX7+BA7)/2</f>
        <v>8.6758081227934571</v>
      </c>
      <c r="AZ7" s="94">
        <f t="shared" ref="AZ7:AZ8" si="3">+(AY7+BA7)/2</f>
        <v>8.9283798312789138</v>
      </c>
      <c r="BA7" s="42">
        <v>9.1809515397643722</v>
      </c>
      <c r="BB7" s="13">
        <v>8.4724303129135876</v>
      </c>
      <c r="BC7" s="13">
        <v>8.5416762574693177</v>
      </c>
      <c r="BD7" s="13">
        <v>8.7229745603858095</v>
      </c>
      <c r="BE7" s="13">
        <v>9.1599206864799818</v>
      </c>
      <c r="BF7" s="13">
        <v>9.0767608899214647</v>
      </c>
      <c r="BG7" s="13">
        <v>8.6991421565251699</v>
      </c>
      <c r="BH7" s="13">
        <v>8.4083167891532593</v>
      </c>
      <c r="BI7" s="13">
        <v>8.717177289675087</v>
      </c>
      <c r="BJ7" s="13">
        <v>9.8122263719622662</v>
      </c>
      <c r="BK7" s="63">
        <v>9.7148105271324621</v>
      </c>
      <c r="BL7" s="13">
        <v>9.7825882005565976</v>
      </c>
      <c r="BM7" s="13">
        <v>11.115479972339491</v>
      </c>
      <c r="BN7" s="13">
        <v>11.06153912175863</v>
      </c>
      <c r="BO7" s="13">
        <v>10.800782997314789</v>
      </c>
      <c r="BP7" s="13">
        <v>10.019903801873344</v>
      </c>
      <c r="BQ7" s="13">
        <v>9.8376834998492111</v>
      </c>
      <c r="BR7" s="13">
        <v>12.819093784232946</v>
      </c>
      <c r="BS7" s="13">
        <v>12.967748373835558</v>
      </c>
      <c r="BT7" s="13">
        <v>10.622148023602982</v>
      </c>
      <c r="BU7" s="13">
        <v>11.012844932249315</v>
      </c>
      <c r="BV7" s="13">
        <v>9.7319529634037458</v>
      </c>
      <c r="BW7" s="13">
        <v>10.148453540513461</v>
      </c>
      <c r="BX7" s="13">
        <v>8.0248612990869024</v>
      </c>
      <c r="BY7" s="13">
        <v>9.4107106604946456</v>
      </c>
      <c r="BZ7" s="13">
        <v>8.3728185769497241</v>
      </c>
      <c r="CA7" s="13">
        <v>8.6087448755640992</v>
      </c>
      <c r="CB7" s="13">
        <v>7.6233765689137689</v>
      </c>
      <c r="CC7" s="13">
        <v>8.5412353487135615</v>
      </c>
      <c r="CD7" s="13">
        <v>8.2238484879751645</v>
      </c>
      <c r="CE7" s="13">
        <v>7.7320145587524065</v>
      </c>
      <c r="CF7" s="13">
        <v>8.2734240777274142</v>
      </c>
      <c r="CG7" s="13">
        <v>9.8229660343070613</v>
      </c>
      <c r="CH7" s="13">
        <v>9.3769393035405262</v>
      </c>
      <c r="CI7" s="13">
        <v>9.0434194535322767</v>
      </c>
      <c r="CJ7" s="13">
        <v>8.2892745146128259</v>
      </c>
    </row>
    <row r="8" spans="1:88" ht="20.149999999999999" customHeight="1" x14ac:dyDescent="0.25">
      <c r="A8" s="12" t="s">
        <v>5</v>
      </c>
      <c r="B8" s="63">
        <v>18.963222317633026</v>
      </c>
      <c r="C8" s="63">
        <v>19.382410319773417</v>
      </c>
      <c r="D8" s="63">
        <v>18.284126701561348</v>
      </c>
      <c r="E8" s="63">
        <v>18.85453601184226</v>
      </c>
      <c r="F8" s="63">
        <v>18.337647573315486</v>
      </c>
      <c r="G8" s="63">
        <v>17.725175414317903</v>
      </c>
      <c r="H8" s="63">
        <v>15.821569314300726</v>
      </c>
      <c r="I8" s="63">
        <v>15.865635687097365</v>
      </c>
      <c r="J8" s="63">
        <v>16.02223378353969</v>
      </c>
      <c r="K8" s="63">
        <v>14.815471928142316</v>
      </c>
      <c r="L8" s="13">
        <v>13.925808400975159</v>
      </c>
      <c r="M8" s="13">
        <v>15.313928004151004</v>
      </c>
      <c r="N8" s="13">
        <v>14.325595558958526</v>
      </c>
      <c r="O8" s="13">
        <v>13.347564749402963</v>
      </c>
      <c r="P8" s="13">
        <v>11.991685622238144</v>
      </c>
      <c r="Q8" s="13">
        <v>12.799691742646132</v>
      </c>
      <c r="R8" s="94">
        <f t="shared" si="0"/>
        <v>12.508760098456046</v>
      </c>
      <c r="S8" s="13">
        <v>12.217828454265959</v>
      </c>
      <c r="T8" s="13">
        <v>10.807157532942082</v>
      </c>
      <c r="U8" s="13">
        <v>10.948198540661981</v>
      </c>
      <c r="V8" s="13">
        <v>12.483993116052975</v>
      </c>
      <c r="W8" s="13">
        <v>11.489808131085386</v>
      </c>
      <c r="X8" s="13">
        <v>11.656857613243385</v>
      </c>
      <c r="Y8" s="13">
        <v>13.661328594324448</v>
      </c>
      <c r="Z8" s="13">
        <v>12.922252143182259</v>
      </c>
      <c r="AA8" s="13">
        <v>13.113015860089176</v>
      </c>
      <c r="AB8" s="13">
        <v>11.597822298951439</v>
      </c>
      <c r="AC8" s="13">
        <v>12.521150557267614</v>
      </c>
      <c r="AD8" s="13">
        <v>11.036261324256545</v>
      </c>
      <c r="AE8" s="13">
        <v>11.185370283288613</v>
      </c>
      <c r="AF8" s="13">
        <v>9.9569130268598638</v>
      </c>
      <c r="AG8" s="13">
        <v>11.367739205852164</v>
      </c>
      <c r="AH8" s="13">
        <v>11.411545257959393</v>
      </c>
      <c r="AI8" s="13">
        <v>11.33252295771825</v>
      </c>
      <c r="AJ8" s="13">
        <v>9.2262298791117399</v>
      </c>
      <c r="AK8" s="13">
        <v>12.588445146948432</v>
      </c>
      <c r="AL8" s="13">
        <v>11.261484146726605</v>
      </c>
      <c r="AM8" s="13">
        <v>11.611471308004436</v>
      </c>
      <c r="AN8" s="13">
        <v>9.5815611000000001</v>
      </c>
      <c r="AO8" s="13">
        <v>11.933404899999999</v>
      </c>
      <c r="AP8" s="13">
        <v>10.951528390191035</v>
      </c>
      <c r="AQ8" s="13">
        <v>10.255131701272994</v>
      </c>
      <c r="AR8" s="13">
        <v>10.62944869830311</v>
      </c>
      <c r="AS8" s="13">
        <v>12.039627560402014</v>
      </c>
      <c r="AT8" s="13">
        <v>11.769070683522116</v>
      </c>
      <c r="AU8" s="13">
        <v>11.455739286035485</v>
      </c>
      <c r="AV8" s="13">
        <v>9.5328670237403088</v>
      </c>
      <c r="AW8" s="13">
        <v>11.654836858821131</v>
      </c>
      <c r="AX8" s="94">
        <f t="shared" si="1"/>
        <v>12.781196359117203</v>
      </c>
      <c r="AY8" s="94">
        <f t="shared" si="2"/>
        <v>13.344376109265239</v>
      </c>
      <c r="AZ8" s="94">
        <f t="shared" si="3"/>
        <v>13.625965984339256</v>
      </c>
      <c r="BA8" s="42">
        <v>13.907555859413275</v>
      </c>
      <c r="BB8" s="13">
        <v>12.343520137165308</v>
      </c>
      <c r="BC8" s="13">
        <v>12.648579431112882</v>
      </c>
      <c r="BD8" s="13">
        <v>11.578571487763003</v>
      </c>
      <c r="BE8" s="13">
        <v>13.365602284863886</v>
      </c>
      <c r="BF8" s="13">
        <v>13.104057227339174</v>
      </c>
      <c r="BG8" s="13">
        <v>12.122639642136098</v>
      </c>
      <c r="BH8" s="13">
        <v>11.551793061327746</v>
      </c>
      <c r="BI8" s="13">
        <v>14.406179647629905</v>
      </c>
      <c r="BJ8" s="13">
        <v>14.372298199733855</v>
      </c>
      <c r="BK8" s="63">
        <v>14.861306167557236</v>
      </c>
      <c r="BL8" s="13">
        <v>14.307083201535395</v>
      </c>
      <c r="BM8" s="13">
        <v>15.686438574791991</v>
      </c>
      <c r="BN8" s="13">
        <v>14.96938401098515</v>
      </c>
      <c r="BO8" s="13">
        <v>15.896371885937571</v>
      </c>
      <c r="BP8" s="13">
        <v>13.733401339735007</v>
      </c>
      <c r="BQ8" s="13">
        <v>9.2912678078150552</v>
      </c>
      <c r="BR8" s="13">
        <v>14.187375201239766</v>
      </c>
      <c r="BS8" s="13">
        <v>17.79130091935129</v>
      </c>
      <c r="BT8" s="13">
        <v>13.663907776727202</v>
      </c>
      <c r="BU8" s="13">
        <v>14.255859776223526</v>
      </c>
      <c r="BV8" s="13">
        <v>15.286393273772902</v>
      </c>
      <c r="BW8" s="13">
        <v>14.626951575641073</v>
      </c>
      <c r="BX8" s="13">
        <v>12.514539382517368</v>
      </c>
      <c r="BY8" s="13">
        <v>13.271452101975839</v>
      </c>
      <c r="BZ8" s="13">
        <v>14.417909374877471</v>
      </c>
      <c r="CA8" s="13">
        <v>13.787358479085418</v>
      </c>
      <c r="CB8" s="13">
        <v>11.635318369864214</v>
      </c>
      <c r="CC8" s="13">
        <v>13.20656640116967</v>
      </c>
      <c r="CD8" s="13">
        <v>12.933353047534288</v>
      </c>
      <c r="CE8" s="13">
        <v>13.883118213192095</v>
      </c>
      <c r="CF8" s="13">
        <v>12.484889181060982</v>
      </c>
      <c r="CG8" s="13">
        <v>14.254228728592928</v>
      </c>
      <c r="CH8" s="13">
        <v>13.836644909238919</v>
      </c>
      <c r="CI8" s="13">
        <v>14.060714073691821</v>
      </c>
      <c r="CJ8" s="13">
        <v>12.105645127531691</v>
      </c>
    </row>
    <row r="9" spans="1:88" ht="20.149999999999999" customHeight="1" thickBot="1" x14ac:dyDescent="0.3">
      <c r="A9" s="14" t="s">
        <v>34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49"/>
      <c r="S9" s="15"/>
      <c r="T9" s="15"/>
      <c r="U9" s="15"/>
      <c r="V9" s="15"/>
      <c r="W9" s="15"/>
      <c r="X9" s="16"/>
      <c r="Y9" s="16"/>
      <c r="Z9" s="16"/>
      <c r="AA9" s="16"/>
      <c r="AB9" s="16"/>
      <c r="AC9" s="16"/>
      <c r="AD9" s="16"/>
      <c r="AE9" s="16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49"/>
      <c r="AY9" s="49"/>
      <c r="AZ9" s="49"/>
      <c r="BA9" s="43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</row>
    <row r="10" spans="1:88" ht="20.149999999999999" customHeight="1" x14ac:dyDescent="0.25">
      <c r="A10" s="12" t="s">
        <v>6</v>
      </c>
      <c r="B10" s="63">
        <v>15.401024058688559</v>
      </c>
      <c r="C10" s="63">
        <v>15.850541106564403</v>
      </c>
      <c r="D10" s="63">
        <v>16.71411891722888</v>
      </c>
      <c r="E10" s="63">
        <v>15.564794184642578</v>
      </c>
      <c r="F10" s="63">
        <v>14.390084161346021</v>
      </c>
      <c r="G10" s="63">
        <v>13.371293882999655</v>
      </c>
      <c r="H10" s="63">
        <v>11.539751605359246</v>
      </c>
      <c r="I10" s="63">
        <v>12.2488394854288</v>
      </c>
      <c r="J10" s="63">
        <v>14.018140357170308</v>
      </c>
      <c r="K10" s="63">
        <v>12.145153378047631</v>
      </c>
      <c r="L10" s="13">
        <v>10.855068304895996</v>
      </c>
      <c r="M10" s="13">
        <v>12.425133347198502</v>
      </c>
      <c r="N10" s="13">
        <v>12.075285014927307</v>
      </c>
      <c r="O10" s="13">
        <v>11.978147377557663</v>
      </c>
      <c r="P10" s="13">
        <v>9.243981907601178</v>
      </c>
      <c r="Q10" s="13">
        <v>10.514367507760149</v>
      </c>
      <c r="R10" s="94">
        <f t="shared" ref="R10:R14" si="4">+(Q10+S10)/2</f>
        <v>10.299282683995113</v>
      </c>
      <c r="S10" s="13">
        <v>10.084197860230077</v>
      </c>
      <c r="T10" s="13">
        <v>7.9587583240404935</v>
      </c>
      <c r="U10" s="13">
        <v>9.9531739487029451</v>
      </c>
      <c r="V10" s="13">
        <v>10.521343885808522</v>
      </c>
      <c r="W10" s="13">
        <v>11.251655058828595</v>
      </c>
      <c r="X10" s="13">
        <v>9.1915599276650983</v>
      </c>
      <c r="Y10" s="13">
        <v>12.980940914513276</v>
      </c>
      <c r="Z10" s="13">
        <v>11.129423939403457</v>
      </c>
      <c r="AA10" s="13">
        <v>12.916400909241615</v>
      </c>
      <c r="AB10" s="13">
        <v>11.360229490871051</v>
      </c>
      <c r="AC10" s="13">
        <v>11.084028676706993</v>
      </c>
      <c r="AD10" s="13">
        <v>10.168396448648574</v>
      </c>
      <c r="AE10" s="13">
        <v>10.610948328505881</v>
      </c>
      <c r="AF10" s="13">
        <v>9.5769471871438938</v>
      </c>
      <c r="AG10" s="13">
        <v>9.4347776190891928</v>
      </c>
      <c r="AH10" s="13">
        <v>10.780533101218092</v>
      </c>
      <c r="AI10" s="13">
        <v>9.5768720091291648</v>
      </c>
      <c r="AJ10" s="13">
        <v>8.7448024101537261</v>
      </c>
      <c r="AK10" s="13">
        <v>11.338019066805129</v>
      </c>
      <c r="AL10" s="13">
        <v>10.767647336415754</v>
      </c>
      <c r="AM10" s="13">
        <v>10.96633286605929</v>
      </c>
      <c r="AN10" s="13">
        <v>8.9632870499999999</v>
      </c>
      <c r="AO10" s="13">
        <v>12.646478399999999</v>
      </c>
      <c r="AP10" s="13">
        <v>10.990811397579568</v>
      </c>
      <c r="AQ10" s="13">
        <v>8.9114718196020135</v>
      </c>
      <c r="AR10" s="13">
        <v>9.7737680191390446</v>
      </c>
      <c r="AS10" s="13">
        <v>11.243357983957482</v>
      </c>
      <c r="AT10" s="13">
        <v>10.919157301515167</v>
      </c>
      <c r="AU10" s="13">
        <v>12.63664613280803</v>
      </c>
      <c r="AV10" s="13">
        <v>8.9929085824545698</v>
      </c>
      <c r="AW10" s="13">
        <v>10.370945595477806</v>
      </c>
      <c r="AX10" s="94">
        <f t="shared" ref="AX10:AX14" si="5">+(AW10+BA10)/2</f>
        <v>10.858631161565498</v>
      </c>
      <c r="AY10" s="94">
        <f t="shared" ref="AY10:AY14" si="6">+(AX10+BA10)/2</f>
        <v>11.102473944609343</v>
      </c>
      <c r="AZ10" s="94">
        <f t="shared" ref="AZ10:AZ14" si="7">+(AY10+BA10)/2</f>
        <v>11.224395336131266</v>
      </c>
      <c r="BA10" s="42">
        <v>11.346316727653191</v>
      </c>
      <c r="BB10" s="13">
        <v>11.810041413614309</v>
      </c>
      <c r="BC10" s="13">
        <v>12.253384527494719</v>
      </c>
      <c r="BD10" s="13">
        <v>12.732539235511908</v>
      </c>
      <c r="BE10" s="13">
        <v>13.577309712030679</v>
      </c>
      <c r="BF10" s="13">
        <v>13.415985245113729</v>
      </c>
      <c r="BG10" s="13">
        <v>14.9319435640494</v>
      </c>
      <c r="BH10" s="13">
        <v>12.948568676336045</v>
      </c>
      <c r="BI10" s="13">
        <v>13.940160461402639</v>
      </c>
      <c r="BJ10" s="13">
        <v>14.831672661481408</v>
      </c>
      <c r="BK10" s="63">
        <v>14.051082009441451</v>
      </c>
      <c r="BL10" s="13">
        <v>14.510560180165061</v>
      </c>
      <c r="BM10" s="13">
        <v>16.025479327902922</v>
      </c>
      <c r="BN10" s="13">
        <v>14.863680155271714</v>
      </c>
      <c r="BO10" s="13">
        <v>16.372459083855592</v>
      </c>
      <c r="BP10" s="13">
        <v>13.106759664003729</v>
      </c>
      <c r="BQ10" s="13">
        <v>12.501695789584755</v>
      </c>
      <c r="BR10" s="13">
        <v>17.511148521457159</v>
      </c>
      <c r="BS10" s="13">
        <v>17.127244971718284</v>
      </c>
      <c r="BT10" s="13">
        <v>13.86475670427793</v>
      </c>
      <c r="BU10" s="13">
        <v>14.308902246782267</v>
      </c>
      <c r="BV10" s="13">
        <v>16.006166095344142</v>
      </c>
      <c r="BW10" s="13">
        <v>16.911092817206967</v>
      </c>
      <c r="BX10" s="13">
        <v>13.090896931597795</v>
      </c>
      <c r="BY10" s="13">
        <v>13.497926545050195</v>
      </c>
      <c r="BZ10" s="13">
        <v>15.427399508704903</v>
      </c>
      <c r="CA10" s="13">
        <v>15.190198294037399</v>
      </c>
      <c r="CB10" s="13">
        <v>11.730939313139524</v>
      </c>
      <c r="CC10" s="13">
        <v>12.686516582502358</v>
      </c>
      <c r="CD10" s="13">
        <v>14.220214273630145</v>
      </c>
      <c r="CE10" s="13">
        <v>13.280694876975977</v>
      </c>
      <c r="CF10" s="13">
        <v>13.060820956285246</v>
      </c>
      <c r="CG10" s="13">
        <v>11.68440193691365</v>
      </c>
      <c r="CH10" s="13">
        <v>14.329807471703884</v>
      </c>
      <c r="CI10" s="13">
        <v>13.261002044708487</v>
      </c>
      <c r="CJ10" s="13">
        <v>12.519998254062942</v>
      </c>
    </row>
    <row r="11" spans="1:88" ht="20.149999999999999" customHeight="1" x14ac:dyDescent="0.25">
      <c r="A11" s="12" t="s">
        <v>7</v>
      </c>
      <c r="B11" s="63">
        <v>16.715658461798473</v>
      </c>
      <c r="C11" s="63">
        <v>15.693264549287033</v>
      </c>
      <c r="D11" s="63">
        <v>14.015541553956739</v>
      </c>
      <c r="E11" s="63">
        <v>14.150491722108713</v>
      </c>
      <c r="F11" s="63">
        <v>13.839558986224301</v>
      </c>
      <c r="G11" s="63">
        <v>13.921124336928337</v>
      </c>
      <c r="H11" s="63">
        <v>11.974653614068744</v>
      </c>
      <c r="I11" s="63">
        <v>11.232813132863726</v>
      </c>
      <c r="J11" s="63">
        <v>11.070025397632223</v>
      </c>
      <c r="K11" s="63">
        <v>11.40661070683193</v>
      </c>
      <c r="L11" s="13">
        <v>9.908304506201727</v>
      </c>
      <c r="M11" s="13">
        <v>10.897353491121283</v>
      </c>
      <c r="N11" s="13">
        <v>9.5519760601807313</v>
      </c>
      <c r="O11" s="13">
        <v>9.417300914338254</v>
      </c>
      <c r="P11" s="13">
        <v>7.6351991259354097</v>
      </c>
      <c r="Q11" s="13">
        <v>9.3357260972896672</v>
      </c>
      <c r="R11" s="94">
        <f t="shared" si="4"/>
        <v>8.8144551832906366</v>
      </c>
      <c r="S11" s="13">
        <v>8.2931842692916042</v>
      </c>
      <c r="T11" s="13">
        <v>8.1888253734095517</v>
      </c>
      <c r="U11" s="13">
        <v>8.5153148493241506</v>
      </c>
      <c r="V11" s="13">
        <v>8.4483998287683093</v>
      </c>
      <c r="W11" s="13">
        <v>8.7438712517600727</v>
      </c>
      <c r="X11" s="13">
        <v>8.7914962039242504</v>
      </c>
      <c r="Y11" s="13">
        <v>9.7466321906563671</v>
      </c>
      <c r="Z11" s="13">
        <v>9.9588231102572085</v>
      </c>
      <c r="AA11" s="13">
        <v>10.259992143049871</v>
      </c>
      <c r="AB11" s="13">
        <v>9.1868435121957468</v>
      </c>
      <c r="AC11" s="13">
        <v>8.990194740910983</v>
      </c>
      <c r="AD11" s="13">
        <v>8.5197425348825941</v>
      </c>
      <c r="AE11" s="13">
        <v>6.7077037119305318</v>
      </c>
      <c r="AF11" s="13">
        <v>6.6978692220494738</v>
      </c>
      <c r="AG11" s="13">
        <v>8.0307498804545787</v>
      </c>
      <c r="AH11" s="13">
        <v>7.7031684980756259</v>
      </c>
      <c r="AI11" s="13">
        <v>8.0096353871544661</v>
      </c>
      <c r="AJ11" s="13">
        <v>6.6103289359282877</v>
      </c>
      <c r="AK11" s="13">
        <v>9.0682995146620744</v>
      </c>
      <c r="AL11" s="13">
        <v>7.5804063304031555</v>
      </c>
      <c r="AM11" s="13">
        <v>8.5483449549756116</v>
      </c>
      <c r="AN11" s="13">
        <v>7.4985420500000002</v>
      </c>
      <c r="AO11" s="13">
        <v>10.0002786</v>
      </c>
      <c r="AP11" s="13">
        <v>8.2687022461401209</v>
      </c>
      <c r="AQ11" s="13">
        <v>7.2204821762932827</v>
      </c>
      <c r="AR11" s="13">
        <v>7.8741159397413583</v>
      </c>
      <c r="AS11" s="13">
        <v>9.1550831043065628</v>
      </c>
      <c r="AT11" s="13">
        <v>9.122658502895824</v>
      </c>
      <c r="AU11" s="13">
        <v>9.5550743437105119</v>
      </c>
      <c r="AV11" s="13">
        <v>7.5565441044494612</v>
      </c>
      <c r="AW11" s="13">
        <v>9.0572224293916275</v>
      </c>
      <c r="AX11" s="94">
        <f t="shared" si="5"/>
        <v>10.076709110095678</v>
      </c>
      <c r="AY11" s="94">
        <f t="shared" si="6"/>
        <v>10.586452450447702</v>
      </c>
      <c r="AZ11" s="94">
        <f t="shared" si="7"/>
        <v>10.841324120623714</v>
      </c>
      <c r="BA11" s="42">
        <v>11.096195790799728</v>
      </c>
      <c r="BB11" s="13">
        <v>10.12705086304587</v>
      </c>
      <c r="BC11" s="13">
        <v>9.7353220081914262</v>
      </c>
      <c r="BD11" s="13">
        <v>10.238805861966831</v>
      </c>
      <c r="BE11" s="13">
        <v>11.028349086575174</v>
      </c>
      <c r="BF11" s="13">
        <v>11.258537707707413</v>
      </c>
      <c r="BG11" s="13">
        <v>10.56648085138133</v>
      </c>
      <c r="BH11" s="13">
        <v>10.134926533645874</v>
      </c>
      <c r="BI11" s="13">
        <v>11.365845147782933</v>
      </c>
      <c r="BJ11" s="13">
        <v>12.772232928415516</v>
      </c>
      <c r="BK11" s="63">
        <v>11.723402582756885</v>
      </c>
      <c r="BL11" s="13">
        <v>12.772911560060152</v>
      </c>
      <c r="BM11" s="13">
        <v>13.446189240717157</v>
      </c>
      <c r="BN11" s="13">
        <v>13.467365816281749</v>
      </c>
      <c r="BO11" s="13">
        <v>15.044167958109547</v>
      </c>
      <c r="BP11" s="13">
        <v>12.355621213816228</v>
      </c>
      <c r="BQ11" s="13">
        <v>9.6559193357563267</v>
      </c>
      <c r="BR11" s="13">
        <v>13.336714854406672</v>
      </c>
      <c r="BS11" s="13">
        <v>14.227845973508829</v>
      </c>
      <c r="BT11" s="13">
        <v>13.119395206382316</v>
      </c>
      <c r="BU11" s="13">
        <v>12.843041673687095</v>
      </c>
      <c r="BV11" s="13">
        <v>12.77086489470604</v>
      </c>
      <c r="BW11" s="13">
        <v>11.612472715672871</v>
      </c>
      <c r="BX11" s="13">
        <v>9.8185288440791609</v>
      </c>
      <c r="BY11" s="13">
        <v>11.426528078080029</v>
      </c>
      <c r="BZ11" s="13">
        <v>11.140017271855109</v>
      </c>
      <c r="CA11" s="13">
        <v>11.710442895594493</v>
      </c>
      <c r="CB11" s="13">
        <v>8.7774355991117528</v>
      </c>
      <c r="CC11" s="13">
        <v>10.045625180818959</v>
      </c>
      <c r="CD11" s="13">
        <v>11.018470204651136</v>
      </c>
      <c r="CE11" s="13">
        <v>11.521725209064952</v>
      </c>
      <c r="CF11" s="13">
        <v>8.4121957791070372</v>
      </c>
      <c r="CG11" s="13">
        <v>12.097249907548548</v>
      </c>
      <c r="CH11" s="13">
        <v>11.795028845610675</v>
      </c>
      <c r="CI11" s="13">
        <v>11.711467717749688</v>
      </c>
      <c r="CJ11" s="13">
        <v>10.012422083586937</v>
      </c>
    </row>
    <row r="12" spans="1:88" ht="20.149999999999999" customHeight="1" x14ac:dyDescent="0.25">
      <c r="A12" s="12" t="s">
        <v>8</v>
      </c>
      <c r="B12" s="63">
        <v>16.621681207072417</v>
      </c>
      <c r="C12" s="63">
        <v>16.338394130083909</v>
      </c>
      <c r="D12" s="63">
        <v>15.556423805498465</v>
      </c>
      <c r="E12" s="63">
        <v>15.200050543887919</v>
      </c>
      <c r="F12" s="63">
        <v>14.720041873634118</v>
      </c>
      <c r="G12" s="63">
        <v>13.946580231502661</v>
      </c>
      <c r="H12" s="63">
        <v>12.699541125038976</v>
      </c>
      <c r="I12" s="63">
        <v>13.579649333821486</v>
      </c>
      <c r="J12" s="63">
        <v>12.554982318565894</v>
      </c>
      <c r="K12" s="63">
        <v>11.684300720493114</v>
      </c>
      <c r="L12" s="13">
        <v>11.655429063324735</v>
      </c>
      <c r="M12" s="13">
        <v>12.287771568757973</v>
      </c>
      <c r="N12" s="13">
        <v>10.717430434215077</v>
      </c>
      <c r="O12" s="13">
        <v>11.303764589691157</v>
      </c>
      <c r="P12" s="13">
        <v>10.03361861199877</v>
      </c>
      <c r="Q12" s="13">
        <v>9.2405586409982359</v>
      </c>
      <c r="R12" s="94">
        <f t="shared" si="4"/>
        <v>9.0858670160141237</v>
      </c>
      <c r="S12" s="13">
        <v>8.9311753910300116</v>
      </c>
      <c r="T12" s="13">
        <v>8.1657856957285784</v>
      </c>
      <c r="U12" s="13">
        <v>8.0073353915397263</v>
      </c>
      <c r="V12" s="13">
        <v>9.0701754903161547</v>
      </c>
      <c r="W12" s="13">
        <v>8.8268314937391334</v>
      </c>
      <c r="X12" s="13">
        <v>8.6638678434226115</v>
      </c>
      <c r="Y12" s="13">
        <v>9.8196813008819763</v>
      </c>
      <c r="Z12" s="13">
        <v>10.009595829732604</v>
      </c>
      <c r="AA12" s="13">
        <v>9.9528790912073219</v>
      </c>
      <c r="AB12" s="13">
        <v>8.8567691545963214</v>
      </c>
      <c r="AC12" s="13">
        <v>9.4385261684756721</v>
      </c>
      <c r="AD12" s="13">
        <v>8.2414911093638654</v>
      </c>
      <c r="AE12" s="13">
        <v>8.2573893980141992</v>
      </c>
      <c r="AF12" s="13">
        <v>8.2425072019861094</v>
      </c>
      <c r="AG12" s="13">
        <v>7.9104048060009573</v>
      </c>
      <c r="AH12" s="13">
        <v>8.6457129750166111</v>
      </c>
      <c r="AI12" s="13">
        <v>8.4871428090521626</v>
      </c>
      <c r="AJ12" s="13">
        <v>6.8271410343774708</v>
      </c>
      <c r="AK12" s="13">
        <v>8.9774095030329306</v>
      </c>
      <c r="AL12" s="13">
        <v>8.7537577983878769</v>
      </c>
      <c r="AM12" s="13">
        <v>9.0076087008155241</v>
      </c>
      <c r="AN12" s="13">
        <v>7.0951670699999996</v>
      </c>
      <c r="AO12" s="13">
        <v>9.1364633499999997</v>
      </c>
      <c r="AP12" s="13">
        <v>8.0628519693753216</v>
      </c>
      <c r="AQ12" s="13">
        <v>8.0116399263065965</v>
      </c>
      <c r="AR12" s="13">
        <v>8.0184431123058175</v>
      </c>
      <c r="AS12" s="13">
        <v>9.1019421608004283</v>
      </c>
      <c r="AT12" s="13">
        <v>9.597141854951273</v>
      </c>
      <c r="AU12" s="13">
        <v>8.4827798096793341</v>
      </c>
      <c r="AV12" s="13">
        <v>7.2565981436225391</v>
      </c>
      <c r="AW12" s="13">
        <v>9.2374289961727243</v>
      </c>
      <c r="AX12" s="94">
        <f t="shared" si="5"/>
        <v>10.06625911820111</v>
      </c>
      <c r="AY12" s="94">
        <f t="shared" si="6"/>
        <v>10.480674179215303</v>
      </c>
      <c r="AZ12" s="94">
        <f t="shared" si="7"/>
        <v>10.687881709722397</v>
      </c>
      <c r="BA12" s="42">
        <v>10.895089240229494</v>
      </c>
      <c r="BB12" s="13">
        <v>9.6399722763015916</v>
      </c>
      <c r="BC12" s="13">
        <v>10.241295463231802</v>
      </c>
      <c r="BD12" s="13">
        <v>9.691554720178079</v>
      </c>
      <c r="BE12" s="13">
        <v>10.772670853278541</v>
      </c>
      <c r="BF12" s="13">
        <v>10.369395296297464</v>
      </c>
      <c r="BG12" s="13">
        <v>9.2166717468251314</v>
      </c>
      <c r="BH12" s="13">
        <v>8.8123579890445249</v>
      </c>
      <c r="BI12" s="13">
        <v>10.258456881007724</v>
      </c>
      <c r="BJ12" s="13">
        <v>10.938234514447291</v>
      </c>
      <c r="BK12" s="63">
        <v>12.291876404055945</v>
      </c>
      <c r="BL12" s="13">
        <v>10.778107209614657</v>
      </c>
      <c r="BM12" s="13">
        <v>12.566241827723656</v>
      </c>
      <c r="BN12" s="13">
        <v>12.822914908802826</v>
      </c>
      <c r="BO12" s="13">
        <v>12.401875160244462</v>
      </c>
      <c r="BP12" s="13">
        <v>11.641140439646449</v>
      </c>
      <c r="BQ12" s="13">
        <v>9.5997252081330107</v>
      </c>
      <c r="BR12" s="13">
        <v>12.356644335150905</v>
      </c>
      <c r="BS12" s="13">
        <v>14.802219066015704</v>
      </c>
      <c r="BT12" s="13">
        <v>11.056767121510308</v>
      </c>
      <c r="BU12" s="13">
        <v>12.449336958199281</v>
      </c>
      <c r="BV12" s="13">
        <v>10.913126041333568</v>
      </c>
      <c r="BW12" s="13">
        <v>11.302818688611941</v>
      </c>
      <c r="BX12" s="13">
        <v>9.2834532764999942</v>
      </c>
      <c r="BY12" s="13">
        <v>11.388884041669012</v>
      </c>
      <c r="BZ12" s="13">
        <v>11.258099180078357</v>
      </c>
      <c r="CA12" s="13">
        <v>10.464462486382114</v>
      </c>
      <c r="CB12" s="13">
        <v>9.1181680127307381</v>
      </c>
      <c r="CC12" s="13">
        <v>10.110928120317428</v>
      </c>
      <c r="CD12" s="13">
        <v>9.5362395214401214</v>
      </c>
      <c r="CE12" s="13">
        <v>9.8811122349002041</v>
      </c>
      <c r="CF12" s="13">
        <v>10.537374533946242</v>
      </c>
      <c r="CG12" s="13">
        <v>12.002793357097078</v>
      </c>
      <c r="CH12" s="13">
        <v>10.673504649478959</v>
      </c>
      <c r="CI12" s="13">
        <v>10.294751481012723</v>
      </c>
      <c r="CJ12" s="13">
        <v>9.3117768265169705</v>
      </c>
    </row>
    <row r="13" spans="1:88" ht="20.149999999999999" customHeight="1" x14ac:dyDescent="0.25">
      <c r="A13" s="12" t="s">
        <v>9</v>
      </c>
      <c r="B13" s="63">
        <v>17.821459090296376</v>
      </c>
      <c r="C13" s="63">
        <v>17.818259567559792</v>
      </c>
      <c r="D13" s="63">
        <v>15.515741607463001</v>
      </c>
      <c r="E13" s="63">
        <v>15.214400515822451</v>
      </c>
      <c r="F13" s="63">
        <v>17.363142845302722</v>
      </c>
      <c r="G13" s="63">
        <v>15.157837898292733</v>
      </c>
      <c r="H13" s="63">
        <v>13.558352437050678</v>
      </c>
      <c r="I13" s="63">
        <v>12.824790012552912</v>
      </c>
      <c r="J13" s="63">
        <v>14.259018563504643</v>
      </c>
      <c r="K13" s="63">
        <v>12.63246837342262</v>
      </c>
      <c r="L13" s="13">
        <v>10.974008596148078</v>
      </c>
      <c r="M13" s="13">
        <v>12.632813480916694</v>
      </c>
      <c r="N13" s="13">
        <v>11.587864923144974</v>
      </c>
      <c r="O13" s="13">
        <v>10.400908209372407</v>
      </c>
      <c r="P13" s="13">
        <v>9.1459845793937156</v>
      </c>
      <c r="Q13" s="13">
        <v>10.6191662890802</v>
      </c>
      <c r="R13" s="94">
        <f t="shared" si="4"/>
        <v>10.162808965893438</v>
      </c>
      <c r="S13" s="13">
        <v>9.7064516427066767</v>
      </c>
      <c r="T13" s="13">
        <v>9.0528529595479732</v>
      </c>
      <c r="U13" s="13">
        <v>8.7810354054333608</v>
      </c>
      <c r="V13" s="13">
        <v>9.7268883723897392</v>
      </c>
      <c r="W13" s="13">
        <v>7.6390078690894789</v>
      </c>
      <c r="X13" s="13">
        <v>10.107622619549055</v>
      </c>
      <c r="Y13" s="13">
        <v>11.982626267187465</v>
      </c>
      <c r="Z13" s="13">
        <v>12.170321772635399</v>
      </c>
      <c r="AA13" s="13">
        <v>9.6234261893820126</v>
      </c>
      <c r="AB13" s="13">
        <v>8.6675948552583613</v>
      </c>
      <c r="AC13" s="13">
        <v>11.428309487110434</v>
      </c>
      <c r="AD13" s="13">
        <v>9.7759765265594751</v>
      </c>
      <c r="AE13" s="13">
        <v>9.1088501249434568</v>
      </c>
      <c r="AF13" s="13">
        <v>9.9242123369277913</v>
      </c>
      <c r="AG13" s="13">
        <v>9.1984343550691481</v>
      </c>
      <c r="AH13" s="13">
        <v>9.3801676177431208</v>
      </c>
      <c r="AI13" s="13">
        <v>9.2880339390924629</v>
      </c>
      <c r="AJ13" s="13">
        <v>8.6654651329879311</v>
      </c>
      <c r="AK13" s="13">
        <v>9.1515399427968109</v>
      </c>
      <c r="AL13" s="13">
        <v>9.0508177395484175</v>
      </c>
      <c r="AM13" s="13">
        <v>8.0228827544759636</v>
      </c>
      <c r="AN13" s="13">
        <v>8.4271409500000001</v>
      </c>
      <c r="AO13" s="13">
        <v>8.1830983800000006</v>
      </c>
      <c r="AP13" s="13">
        <v>8.316330024708698</v>
      </c>
      <c r="AQ13" s="13">
        <v>7.0031342836117849</v>
      </c>
      <c r="AR13" s="13">
        <v>7.063453332428411</v>
      </c>
      <c r="AS13" s="13">
        <v>8.7989918611612943</v>
      </c>
      <c r="AT13" s="13">
        <v>7.8936879262861623</v>
      </c>
      <c r="AU13" s="13">
        <v>7.2905175383973466</v>
      </c>
      <c r="AV13" s="13">
        <v>7.2559786478541541</v>
      </c>
      <c r="AW13" s="13">
        <v>8.0560910136776176</v>
      </c>
      <c r="AX13" s="94">
        <f t="shared" si="5"/>
        <v>9.8695729258504183</v>
      </c>
      <c r="AY13" s="94">
        <f t="shared" si="6"/>
        <v>10.776313881936819</v>
      </c>
      <c r="AZ13" s="94">
        <f t="shared" si="7"/>
        <v>11.22968435998002</v>
      </c>
      <c r="BA13" s="42">
        <v>11.683054838023219</v>
      </c>
      <c r="BB13" s="13">
        <v>11.066101677822507</v>
      </c>
      <c r="BC13" s="13">
        <v>11.114128068117198</v>
      </c>
      <c r="BD13" s="13">
        <v>9.4529554094557984</v>
      </c>
      <c r="BE13" s="13">
        <v>10.438592401883389</v>
      </c>
      <c r="BF13" s="13">
        <v>9.9940938391132779</v>
      </c>
      <c r="BG13" s="13">
        <v>9.1423921510193562</v>
      </c>
      <c r="BH13" s="13">
        <v>9.2485398983135596</v>
      </c>
      <c r="BI13" s="13">
        <v>11.325787806562431</v>
      </c>
      <c r="BJ13" s="13">
        <v>10.793709327738362</v>
      </c>
      <c r="BK13" s="63">
        <v>11.529857251198422</v>
      </c>
      <c r="BL13" s="13">
        <v>10.933424359902677</v>
      </c>
      <c r="BM13" s="13">
        <v>12.229455598452271</v>
      </c>
      <c r="BN13" s="13">
        <v>12.066853292192299</v>
      </c>
      <c r="BO13" s="13">
        <v>10.839906258388222</v>
      </c>
      <c r="BP13" s="13">
        <v>11.190478223375825</v>
      </c>
      <c r="BQ13" s="13">
        <v>7.6340453296323538</v>
      </c>
      <c r="BR13" s="13">
        <v>13.776144454052231</v>
      </c>
      <c r="BS13" s="13">
        <v>15.850777019523143</v>
      </c>
      <c r="BT13" s="13">
        <v>11.477710714529769</v>
      </c>
      <c r="BU13" s="13">
        <v>12.025928455676539</v>
      </c>
      <c r="BV13" s="13">
        <v>11.759049132570889</v>
      </c>
      <c r="BW13" s="13">
        <v>12.176957756984743</v>
      </c>
      <c r="BX13" s="13">
        <v>10.375272477061754</v>
      </c>
      <c r="BY13" s="13">
        <v>8.8005487360246484</v>
      </c>
      <c r="BZ13" s="13">
        <v>8.7812926699234399</v>
      </c>
      <c r="CA13" s="13">
        <v>9.033265366051376</v>
      </c>
      <c r="CB13" s="13">
        <v>9.798155725970199</v>
      </c>
      <c r="CC13" s="13">
        <v>12.239233352870061</v>
      </c>
      <c r="CD13" s="13">
        <v>9.9089473174862928</v>
      </c>
      <c r="CE13" s="13">
        <v>9.299740521329479</v>
      </c>
      <c r="CF13" s="13">
        <v>10.483892384664227</v>
      </c>
      <c r="CG13" s="13">
        <v>10.954600157646839</v>
      </c>
      <c r="CH13" s="13">
        <v>10.957905559240137</v>
      </c>
      <c r="CI13" s="13">
        <v>11.938500882318277</v>
      </c>
      <c r="CJ13" s="13">
        <v>9.3395377981200536</v>
      </c>
    </row>
    <row r="14" spans="1:88" ht="20.149999999999999" customHeight="1" x14ac:dyDescent="0.25">
      <c r="A14" s="12" t="s">
        <v>10</v>
      </c>
      <c r="B14" s="63">
        <v>15.814426599887035</v>
      </c>
      <c r="C14" s="63">
        <v>14.778591170877602</v>
      </c>
      <c r="D14" s="63">
        <v>16.320846135665327</v>
      </c>
      <c r="E14" s="63">
        <v>16.587717474507876</v>
      </c>
      <c r="F14" s="63">
        <v>17.174784173004255</v>
      </c>
      <c r="G14" s="63">
        <v>15.150156726154579</v>
      </c>
      <c r="H14" s="63">
        <v>13.032839006448299</v>
      </c>
      <c r="I14" s="63">
        <v>15.102117253558697</v>
      </c>
      <c r="J14" s="63">
        <v>15.834911428522902</v>
      </c>
      <c r="K14" s="63">
        <v>11.554836601995975</v>
      </c>
      <c r="L14" s="13">
        <v>11.863501528055657</v>
      </c>
      <c r="M14" s="13">
        <v>12.945499589824145</v>
      </c>
      <c r="N14" s="13">
        <v>11.64434270542583</v>
      </c>
      <c r="O14" s="13">
        <v>10.853144255997188</v>
      </c>
      <c r="P14" s="13">
        <v>11.676383744027486</v>
      </c>
      <c r="Q14" s="13">
        <v>13.028408311146489</v>
      </c>
      <c r="R14" s="94">
        <f t="shared" si="4"/>
        <v>11.145730985671758</v>
      </c>
      <c r="S14" s="13">
        <v>9.2630536601970288</v>
      </c>
      <c r="T14" s="13">
        <v>8.0139311430350162</v>
      </c>
      <c r="U14" s="13">
        <v>9.0889212421417849</v>
      </c>
      <c r="V14" s="13">
        <v>10.70529386192808</v>
      </c>
      <c r="W14" s="13">
        <v>10.235676012184006</v>
      </c>
      <c r="X14" s="13">
        <v>8.9736217538690823</v>
      </c>
      <c r="Y14" s="13">
        <v>8.2917217158355641</v>
      </c>
      <c r="Z14" s="13">
        <v>10.762858657224509</v>
      </c>
      <c r="AA14" s="13">
        <v>8.1738241051101763</v>
      </c>
      <c r="AB14" s="13">
        <v>8.0593688901969855</v>
      </c>
      <c r="AC14" s="13">
        <v>9.5299110912381728</v>
      </c>
      <c r="AD14" s="13">
        <v>7.7607562756569966</v>
      </c>
      <c r="AE14" s="13">
        <v>8.4761633734324615</v>
      </c>
      <c r="AF14" s="13">
        <v>7.371740646444473</v>
      </c>
      <c r="AG14" s="13">
        <v>8.1196715605486851</v>
      </c>
      <c r="AH14" s="13">
        <v>8.3109686446405782</v>
      </c>
      <c r="AI14" s="13">
        <v>7.4080029586988161</v>
      </c>
      <c r="AJ14" s="13">
        <v>7.7179783240218622</v>
      </c>
      <c r="AK14" s="13">
        <v>8.9096761215047273</v>
      </c>
      <c r="AL14" s="13">
        <v>9.8918678393453785</v>
      </c>
      <c r="AM14" s="13">
        <v>9.0898627145239281</v>
      </c>
      <c r="AN14" s="13">
        <v>10.1696101</v>
      </c>
      <c r="AO14" s="13">
        <v>8.8135740200000008</v>
      </c>
      <c r="AP14" s="13">
        <v>10.018075612776776</v>
      </c>
      <c r="AQ14" s="13">
        <v>8.1031649469875333</v>
      </c>
      <c r="AR14" s="13">
        <v>7.8601303365446533</v>
      </c>
      <c r="AS14" s="13">
        <v>9.0333403728149104</v>
      </c>
      <c r="AT14" s="13">
        <v>7.8902340379896945</v>
      </c>
      <c r="AU14" s="13">
        <v>6.8940599161979881</v>
      </c>
      <c r="AV14" s="13">
        <v>7.3612353798253469</v>
      </c>
      <c r="AW14" s="13">
        <v>7.7712032743631436</v>
      </c>
      <c r="AX14" s="94">
        <f t="shared" si="5"/>
        <v>8.5373319722353109</v>
      </c>
      <c r="AY14" s="94">
        <f t="shared" si="6"/>
        <v>8.9203963211713955</v>
      </c>
      <c r="AZ14" s="94">
        <f t="shared" si="7"/>
        <v>9.1119284956394377</v>
      </c>
      <c r="BA14" s="42">
        <v>9.30346067010748</v>
      </c>
      <c r="BB14" s="13">
        <v>8.0123647064335053</v>
      </c>
      <c r="BC14" s="13">
        <v>7.8136509557799005</v>
      </c>
      <c r="BD14" s="13">
        <v>6.9302114153102643</v>
      </c>
      <c r="BE14" s="13">
        <v>8.6917664876199829</v>
      </c>
      <c r="BF14" s="13">
        <v>9.0613638402802437</v>
      </c>
      <c r="BG14" s="13">
        <v>7.6857188877866367</v>
      </c>
      <c r="BH14" s="13">
        <v>8.6669241426227828</v>
      </c>
      <c r="BI14" s="13">
        <v>10.317484450377281</v>
      </c>
      <c r="BJ14" s="13">
        <v>10.416370833013252</v>
      </c>
      <c r="BK14" s="63">
        <v>9.50382568439891</v>
      </c>
      <c r="BL14" s="13">
        <v>10.354677098543293</v>
      </c>
      <c r="BM14" s="13">
        <v>12.128643438198617</v>
      </c>
      <c r="BN14" s="13">
        <v>9.4966811041886157</v>
      </c>
      <c r="BO14" s="13">
        <v>10.112359550561797</v>
      </c>
      <c r="BP14" s="13">
        <v>9.104585301446253</v>
      </c>
      <c r="BQ14" s="13">
        <v>9.4930955262962868</v>
      </c>
      <c r="BR14" s="13">
        <v>12.280448674212149</v>
      </c>
      <c r="BS14" s="13">
        <v>14.251474231360953</v>
      </c>
      <c r="BT14" s="13">
        <v>10.670361490799266</v>
      </c>
      <c r="BU14" s="13">
        <v>8.8562971177149183</v>
      </c>
      <c r="BV14" s="13">
        <v>11.659787376928787</v>
      </c>
      <c r="BW14" s="13">
        <v>10.201399620364411</v>
      </c>
      <c r="BX14" s="13">
        <v>8.7742860993973011</v>
      </c>
      <c r="BY14" s="13">
        <v>10.36997219844563</v>
      </c>
      <c r="BZ14" s="13">
        <v>7.6511034007875223</v>
      </c>
      <c r="CA14" s="13">
        <v>7.9257790473694136</v>
      </c>
      <c r="CB14" s="13">
        <v>8.1908704121386098</v>
      </c>
      <c r="CC14" s="13">
        <v>8.4711419918998097</v>
      </c>
      <c r="CD14" s="13">
        <v>6.9955851106361804</v>
      </c>
      <c r="CE14" s="13">
        <v>8.4721141985065049</v>
      </c>
      <c r="CF14" s="13">
        <v>8.9987764794738627</v>
      </c>
      <c r="CG14" s="13">
        <v>11.560383970831351</v>
      </c>
      <c r="CH14" s="13">
        <v>9.7534491432377308</v>
      </c>
      <c r="CI14" s="13">
        <v>10.392388552771635</v>
      </c>
      <c r="CJ14" s="13">
        <v>9.4786369848023213</v>
      </c>
    </row>
    <row r="15" spans="1:88" ht="20.149999999999999" customHeight="1" thickBot="1" x14ac:dyDescent="0.3">
      <c r="A15" s="14" t="s">
        <v>11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49"/>
      <c r="S15" s="15"/>
      <c r="T15" s="15"/>
      <c r="U15" s="15"/>
      <c r="V15" s="15"/>
      <c r="W15" s="15"/>
      <c r="X15" s="16"/>
      <c r="Y15" s="16"/>
      <c r="Z15" s="16"/>
      <c r="AA15" s="16"/>
      <c r="AB15" s="16"/>
      <c r="AC15" s="16"/>
      <c r="AD15" s="16"/>
      <c r="AE15" s="16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49"/>
      <c r="AY15" s="49"/>
      <c r="AZ15" s="49"/>
      <c r="BA15" s="43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</row>
    <row r="16" spans="1:88" ht="20.149999999999999" customHeight="1" x14ac:dyDescent="0.25">
      <c r="A16" s="12" t="s">
        <v>12</v>
      </c>
      <c r="B16" s="63">
        <v>16.20928598493024</v>
      </c>
      <c r="C16" s="63">
        <v>15.34656012473202</v>
      </c>
      <c r="D16" s="63">
        <v>14.308957893232355</v>
      </c>
      <c r="E16" s="63">
        <v>13.944497230142233</v>
      </c>
      <c r="F16" s="63">
        <v>14.023342802829022</v>
      </c>
      <c r="G16" s="63">
        <v>12.398268206745627</v>
      </c>
      <c r="H16" s="63">
        <v>11.538692518375793</v>
      </c>
      <c r="I16" s="63">
        <v>11.883773843133834</v>
      </c>
      <c r="J16" s="63">
        <v>11.788188063989988</v>
      </c>
      <c r="K16" s="63">
        <v>10.626822689422607</v>
      </c>
      <c r="L16" s="13">
        <v>9.7337003794721788</v>
      </c>
      <c r="M16" s="13">
        <v>10.771591025914768</v>
      </c>
      <c r="N16" s="13">
        <v>9.3388271724561598</v>
      </c>
      <c r="O16" s="13">
        <v>9.4867193521950313</v>
      </c>
      <c r="P16" s="13">
        <v>8.0417961650603882</v>
      </c>
      <c r="Q16" s="13">
        <v>8.9697545311084461</v>
      </c>
      <c r="R16" s="94">
        <f t="shared" ref="R16:R19" si="8">+(Q16+S16)/2</f>
        <v>8.4911282985366672</v>
      </c>
      <c r="S16" s="13">
        <v>8.0125020659648882</v>
      </c>
      <c r="T16" s="13">
        <v>7.61952444766486</v>
      </c>
      <c r="U16" s="13">
        <v>7.8951869710904825</v>
      </c>
      <c r="V16" s="13">
        <v>8.2069771197463748</v>
      </c>
      <c r="W16" s="13">
        <v>7.4042847649790886</v>
      </c>
      <c r="X16" s="13">
        <v>7.9327216966285423</v>
      </c>
      <c r="Y16" s="13">
        <v>9.5966527159496628</v>
      </c>
      <c r="Z16" s="13">
        <v>9.7208179823394438</v>
      </c>
      <c r="AA16" s="13">
        <v>8.595038305303742</v>
      </c>
      <c r="AB16" s="13">
        <v>8.1128131254871985</v>
      </c>
      <c r="AC16" s="13">
        <v>8.9165465803567017</v>
      </c>
      <c r="AD16" s="13">
        <v>7.754409276520204</v>
      </c>
      <c r="AE16" s="13">
        <v>7.3123112962896117</v>
      </c>
      <c r="AF16" s="13">
        <v>7.437403354695399</v>
      </c>
      <c r="AG16" s="13">
        <v>6.8442474989260216</v>
      </c>
      <c r="AH16" s="13">
        <v>7.8182888924316085</v>
      </c>
      <c r="AI16" s="13">
        <v>7.7958331995537282</v>
      </c>
      <c r="AJ16" s="13">
        <v>6.9380169021895544</v>
      </c>
      <c r="AK16" s="13">
        <v>8.0805261275491809</v>
      </c>
      <c r="AL16" s="13">
        <v>7.5915380026283632</v>
      </c>
      <c r="AM16" s="13">
        <v>7.7709635050586003</v>
      </c>
      <c r="AN16" s="13">
        <v>7.2803186499999999</v>
      </c>
      <c r="AO16" s="13">
        <v>8.3237509999999997</v>
      </c>
      <c r="AP16" s="13">
        <v>7.677839920230781</v>
      </c>
      <c r="AQ16" s="13">
        <v>6.7726290323003866</v>
      </c>
      <c r="AR16" s="13">
        <v>7.3343865398390689</v>
      </c>
      <c r="AS16" s="13">
        <v>8.5686735499800175</v>
      </c>
      <c r="AT16" s="13">
        <v>8.3436939160762638</v>
      </c>
      <c r="AU16" s="13">
        <v>8.1047586484070866</v>
      </c>
      <c r="AV16" s="13">
        <v>6.7127624328256212</v>
      </c>
      <c r="AW16" s="13">
        <v>8.1843801644971492</v>
      </c>
      <c r="AX16" s="94">
        <f t="shared" ref="AX16:AX19" si="9">+(AW16+BA16)/2</f>
        <v>9.1676372143891065</v>
      </c>
      <c r="AY16" s="94">
        <f t="shared" ref="AY16:AY19" si="10">+(AX16+BA16)/2</f>
        <v>9.6592657393350851</v>
      </c>
      <c r="AZ16" s="94">
        <f t="shared" ref="AZ16:AZ19" si="11">+(AY16+BA16)/2</f>
        <v>9.9050800018080736</v>
      </c>
      <c r="BA16" s="42">
        <v>10.150894264281064</v>
      </c>
      <c r="BB16" s="13">
        <v>8.8213624574116043</v>
      </c>
      <c r="BC16" s="13">
        <v>9.343082418295829</v>
      </c>
      <c r="BD16" s="13">
        <v>8.9051824628436353</v>
      </c>
      <c r="BE16" s="13">
        <v>10.300509821506717</v>
      </c>
      <c r="BF16" s="13">
        <v>9.5860173286514812</v>
      </c>
      <c r="BG16" s="13">
        <v>8.1995109368135246</v>
      </c>
      <c r="BH16" s="13">
        <v>8.8265045957676058</v>
      </c>
      <c r="BI16" s="13">
        <v>10.129946610313183</v>
      </c>
      <c r="BJ16" s="13">
        <v>10.906332620608913</v>
      </c>
      <c r="BK16" s="63">
        <v>11.168670040679526</v>
      </c>
      <c r="BL16" s="13">
        <v>10.801615644273021</v>
      </c>
      <c r="BM16" s="13">
        <v>12.434377775593152</v>
      </c>
      <c r="BN16" s="13">
        <v>11.837707285541159</v>
      </c>
      <c r="BO16" s="13">
        <v>11.596091154585899</v>
      </c>
      <c r="BP16" s="13">
        <v>11.262482798064601</v>
      </c>
      <c r="BQ16" s="13">
        <v>9.2796879614046084</v>
      </c>
      <c r="BR16" s="13">
        <v>13.449539240958789</v>
      </c>
      <c r="BS16" s="13">
        <v>14.563887705728758</v>
      </c>
      <c r="BT16" s="13">
        <v>11.076994065524046</v>
      </c>
      <c r="BU16" s="13">
        <v>10.585759706571359</v>
      </c>
      <c r="BV16" s="13">
        <v>11.191295208617195</v>
      </c>
      <c r="BW16" s="13">
        <v>11.13946139240468</v>
      </c>
      <c r="BX16" s="13">
        <v>9.1783164421306029</v>
      </c>
      <c r="BY16" s="13">
        <v>10.232278131741333</v>
      </c>
      <c r="BZ16" s="13">
        <v>9.6038392183929968</v>
      </c>
      <c r="CA16" s="13">
        <v>9.9514588463764042</v>
      </c>
      <c r="CB16" s="13">
        <v>8.4927075204104252</v>
      </c>
      <c r="CC16" s="13">
        <v>9.8484822238005325</v>
      </c>
      <c r="CD16" s="13">
        <v>9.312161458139304</v>
      </c>
      <c r="CE16" s="13">
        <v>9.0928605594532694</v>
      </c>
      <c r="CF16" s="13">
        <v>9.5254807147013754</v>
      </c>
      <c r="CG16" s="13">
        <v>11.334500209524709</v>
      </c>
      <c r="CH16" s="13">
        <v>10.338884587244504</v>
      </c>
      <c r="CI16" s="13">
        <v>10.389760012005279</v>
      </c>
      <c r="CJ16" s="13">
        <v>9.4763370740591242</v>
      </c>
    </row>
    <row r="17" spans="1:88" ht="20.149999999999999" customHeight="1" x14ac:dyDescent="0.25">
      <c r="A17" s="12" t="s">
        <v>13</v>
      </c>
      <c r="B17" s="63">
        <v>18.457819812853806</v>
      </c>
      <c r="C17" s="63">
        <v>17.490726476433384</v>
      </c>
      <c r="D17" s="63">
        <v>17.586140046986092</v>
      </c>
      <c r="E17" s="63">
        <v>17.395179184831697</v>
      </c>
      <c r="F17" s="63">
        <v>18.026823490886258</v>
      </c>
      <c r="G17" s="63">
        <v>17.768026685585241</v>
      </c>
      <c r="H17" s="63">
        <v>14.951425258492595</v>
      </c>
      <c r="I17" s="63">
        <v>15.194134894178124</v>
      </c>
      <c r="J17" s="63">
        <v>14.694477115028764</v>
      </c>
      <c r="K17" s="63">
        <v>13.450825593255649</v>
      </c>
      <c r="L17" s="13">
        <v>12.67073275102803</v>
      </c>
      <c r="M17" s="13">
        <v>14.279733837667841</v>
      </c>
      <c r="N17" s="13">
        <v>12.868775022835477</v>
      </c>
      <c r="O17" s="13">
        <v>11.296332413841514</v>
      </c>
      <c r="P17" s="13">
        <v>11.483580719717933</v>
      </c>
      <c r="Q17" s="13">
        <v>10.53510255316009</v>
      </c>
      <c r="R17" s="94">
        <f t="shared" si="8"/>
        <v>10.036849728793296</v>
      </c>
      <c r="S17" s="13">
        <v>9.5385969044265018</v>
      </c>
      <c r="T17" s="13">
        <v>9.6330789048373422</v>
      </c>
      <c r="U17" s="13">
        <v>9.1123197949967238</v>
      </c>
      <c r="V17" s="13">
        <v>10.798270557624347</v>
      </c>
      <c r="W17" s="13">
        <v>10.311096704466193</v>
      </c>
      <c r="X17" s="13">
        <v>10.685035016355734</v>
      </c>
      <c r="Y17" s="13">
        <v>11.820542282230463</v>
      </c>
      <c r="Z17" s="13">
        <v>10.094515057742964</v>
      </c>
      <c r="AA17" s="13">
        <v>11.647148048484581</v>
      </c>
      <c r="AB17" s="13">
        <v>9.5682898487751249</v>
      </c>
      <c r="AC17" s="13">
        <v>10.955618896220308</v>
      </c>
      <c r="AD17" s="13">
        <v>9.8884630594704941</v>
      </c>
      <c r="AE17" s="13">
        <v>9.493653789170569</v>
      </c>
      <c r="AF17" s="13">
        <v>9.1025142427447516</v>
      </c>
      <c r="AG17" s="13">
        <v>10.791772665979533</v>
      </c>
      <c r="AH17" s="13">
        <v>9.4477470512252388</v>
      </c>
      <c r="AI17" s="13">
        <v>9.2426794433534951</v>
      </c>
      <c r="AJ17" s="13">
        <v>8.2150424406918532</v>
      </c>
      <c r="AK17" s="13">
        <v>11.055209666193248</v>
      </c>
      <c r="AL17" s="13">
        <v>11.001470387300326</v>
      </c>
      <c r="AM17" s="13">
        <v>10.327509148349423</v>
      </c>
      <c r="AN17" s="13">
        <v>8.8636849499999997</v>
      </c>
      <c r="AO17" s="13">
        <v>10.1193971</v>
      </c>
      <c r="AP17" s="13">
        <v>8.8731327711748786</v>
      </c>
      <c r="AQ17" s="13">
        <v>8.7661313137907779</v>
      </c>
      <c r="AR17" s="13">
        <v>8.7563199209671065</v>
      </c>
      <c r="AS17" s="13">
        <v>8.925230167748456</v>
      </c>
      <c r="AT17" s="13">
        <v>9.8840770871027335</v>
      </c>
      <c r="AU17" s="13">
        <v>7.8545765908578105</v>
      </c>
      <c r="AV17" s="13">
        <v>8.2401911101904624</v>
      </c>
      <c r="AW17" s="13">
        <v>9.4828364135142937</v>
      </c>
      <c r="AX17" s="94">
        <f t="shared" si="9"/>
        <v>10.763711558974805</v>
      </c>
      <c r="AY17" s="94">
        <f t="shared" si="10"/>
        <v>11.404149131705061</v>
      </c>
      <c r="AZ17" s="94">
        <f t="shared" si="11"/>
        <v>11.72436791807019</v>
      </c>
      <c r="BA17" s="42">
        <v>12.044586704435318</v>
      </c>
      <c r="BB17" s="13">
        <v>11.193820118855465</v>
      </c>
      <c r="BC17" s="13">
        <v>9.5077407991100404</v>
      </c>
      <c r="BD17" s="13">
        <v>8.6067275559582832</v>
      </c>
      <c r="BE17" s="13">
        <v>10.366280940627433</v>
      </c>
      <c r="BF17" s="13">
        <v>10.614912475320933</v>
      </c>
      <c r="BG17" s="13">
        <v>9.5835256910744508</v>
      </c>
      <c r="BH17" s="13">
        <v>9.1148852997313252</v>
      </c>
      <c r="BI17" s="13">
        <v>10.382218669990111</v>
      </c>
      <c r="BJ17" s="13">
        <v>11.425906280864762</v>
      </c>
      <c r="BK17" s="63">
        <v>11.638780517574411</v>
      </c>
      <c r="BL17" s="13">
        <v>10.767554189322484</v>
      </c>
      <c r="BM17" s="13">
        <v>11.730229087058431</v>
      </c>
      <c r="BN17" s="13">
        <v>12.027884141308471</v>
      </c>
      <c r="BO17" s="13">
        <v>12.047775885182201</v>
      </c>
      <c r="BP17" s="13">
        <v>10.867567525863397</v>
      </c>
      <c r="BQ17" s="13">
        <v>7.9015674665917777</v>
      </c>
      <c r="BR17" s="13">
        <v>11.100760429789815</v>
      </c>
      <c r="BS17" s="13">
        <v>14.696777997306446</v>
      </c>
      <c r="BT17" s="13">
        <v>11.326132681117512</v>
      </c>
      <c r="BU17" s="13">
        <v>13.013483024006561</v>
      </c>
      <c r="BV17" s="13">
        <v>9.6135161328156347</v>
      </c>
      <c r="BW17" s="13">
        <v>11.557039761240597</v>
      </c>
      <c r="BX17" s="13">
        <v>8.7526477217950767</v>
      </c>
      <c r="BY17" s="13">
        <v>10.000945280275602</v>
      </c>
      <c r="BZ17" s="13">
        <v>10.174100645721156</v>
      </c>
      <c r="CA17" s="13">
        <v>9.4946715635549062</v>
      </c>
      <c r="CB17" s="13">
        <v>9.9241329296404661</v>
      </c>
      <c r="CC17" s="13">
        <v>10.017261671706979</v>
      </c>
      <c r="CD17" s="13">
        <v>9.4371517657546526</v>
      </c>
      <c r="CE17" s="13">
        <v>10.180448886125655</v>
      </c>
      <c r="CF17" s="13">
        <v>10.652098847710393</v>
      </c>
      <c r="CG17" s="13">
        <v>11.489220868447205</v>
      </c>
      <c r="CH17" s="13">
        <v>9.7793660901544079</v>
      </c>
      <c r="CI17" s="13">
        <v>10.619892639551352</v>
      </c>
      <c r="CJ17" s="13">
        <v>7.794914374057921</v>
      </c>
    </row>
    <row r="18" spans="1:88" ht="20.149999999999999" customHeight="1" x14ac:dyDescent="0.25">
      <c r="A18" s="12" t="s">
        <v>14</v>
      </c>
      <c r="B18" s="63">
        <v>16.098536180063093</v>
      </c>
      <c r="C18" s="63">
        <v>16.29896486262777</v>
      </c>
      <c r="D18" s="63">
        <v>15.872637316574039</v>
      </c>
      <c r="E18" s="63">
        <v>14.909247547915269</v>
      </c>
      <c r="F18" s="63">
        <v>14.895041898751723</v>
      </c>
      <c r="G18" s="63">
        <v>13.96696074851716</v>
      </c>
      <c r="H18" s="63">
        <v>11.93952492214647</v>
      </c>
      <c r="I18" s="63">
        <v>12.157347939890949</v>
      </c>
      <c r="J18" s="63">
        <v>13.37797855328995</v>
      </c>
      <c r="K18" s="63">
        <v>12.9480084611309</v>
      </c>
      <c r="L18" s="13">
        <v>11.655958377344984</v>
      </c>
      <c r="M18" s="13">
        <v>12.383454015377779</v>
      </c>
      <c r="N18" s="13">
        <v>11.796782273054447</v>
      </c>
      <c r="O18" s="13">
        <v>12.45312195917337</v>
      </c>
      <c r="P18" s="13">
        <v>9.7229873229717327</v>
      </c>
      <c r="Q18" s="13">
        <v>11.39894756126529</v>
      </c>
      <c r="R18" s="94">
        <f t="shared" si="8"/>
        <v>11.089040400715151</v>
      </c>
      <c r="S18" s="13">
        <v>10.779133240165011</v>
      </c>
      <c r="T18" s="13">
        <v>8.3411187944838527</v>
      </c>
      <c r="U18" s="13">
        <v>9.6111329645005519</v>
      </c>
      <c r="V18" s="13">
        <v>10.230016770878137</v>
      </c>
      <c r="W18" s="13">
        <v>10.897965075146242</v>
      </c>
      <c r="X18" s="13">
        <v>9.6720903707595163</v>
      </c>
      <c r="Y18" s="13">
        <v>11.152817877373742</v>
      </c>
      <c r="Z18" s="13">
        <v>11.836463046716336</v>
      </c>
      <c r="AA18" s="13">
        <v>12.371742366507361</v>
      </c>
      <c r="AB18" s="13">
        <v>11.341800831444367</v>
      </c>
      <c r="AC18" s="13">
        <v>10.871123042148101</v>
      </c>
      <c r="AD18" s="13">
        <v>9.8639823501383397</v>
      </c>
      <c r="AE18" s="13">
        <v>9.6856557975992583</v>
      </c>
      <c r="AF18" s="13">
        <v>9.0800482833061285</v>
      </c>
      <c r="AG18" s="13">
        <v>9.3461599512293301</v>
      </c>
      <c r="AH18" s="13">
        <v>9.6509556251368771</v>
      </c>
      <c r="AI18" s="13">
        <v>9.4210367904161352</v>
      </c>
      <c r="AJ18" s="13">
        <v>8.248453454034026</v>
      </c>
      <c r="AK18" s="13">
        <v>10.629678572024295</v>
      </c>
      <c r="AL18" s="13">
        <v>9.9146920025188248</v>
      </c>
      <c r="AM18" s="13">
        <v>10.269734982080413</v>
      </c>
      <c r="AN18" s="13">
        <v>8.8907823100000005</v>
      </c>
      <c r="AO18" s="13">
        <v>11.9778956</v>
      </c>
      <c r="AP18" s="13">
        <v>10.749065390447168</v>
      </c>
      <c r="AQ18" s="13">
        <v>9.0393458927510775</v>
      </c>
      <c r="AR18" s="13">
        <v>9.1637444355119335</v>
      </c>
      <c r="AS18" s="13">
        <v>11.217995594778086</v>
      </c>
      <c r="AT18" s="13">
        <v>10.183898045083744</v>
      </c>
      <c r="AU18" s="13">
        <v>11.739675976033881</v>
      </c>
      <c r="AV18" s="13">
        <v>8.6362386248289376</v>
      </c>
      <c r="AW18" s="13">
        <v>9.9039057250890892</v>
      </c>
      <c r="AX18" s="94">
        <f t="shared" si="9"/>
        <v>10.686080167514817</v>
      </c>
      <c r="AY18" s="94">
        <f t="shared" si="10"/>
        <v>11.07716738872768</v>
      </c>
      <c r="AZ18" s="94">
        <f t="shared" si="11"/>
        <v>11.272710999334112</v>
      </c>
      <c r="BA18" s="42">
        <v>11.468254609940546</v>
      </c>
      <c r="BB18" s="13">
        <v>11.954778006825579</v>
      </c>
      <c r="BC18" s="13">
        <v>12.605652687452279</v>
      </c>
      <c r="BD18" s="13">
        <v>12.584281669780129</v>
      </c>
      <c r="BE18" s="13">
        <v>12.549307770783386</v>
      </c>
      <c r="BF18" s="13">
        <v>12.964967823612145</v>
      </c>
      <c r="BG18" s="13">
        <v>14.097857487748833</v>
      </c>
      <c r="BH18" s="13">
        <v>11.860415115011822</v>
      </c>
      <c r="BI18" s="13">
        <v>13.913236096638098</v>
      </c>
      <c r="BJ18" s="13">
        <v>13.8389772879971</v>
      </c>
      <c r="BK18" s="63">
        <v>13.69911811721318</v>
      </c>
      <c r="BL18" s="13">
        <v>14.750361309845697</v>
      </c>
      <c r="BM18" s="13">
        <v>15.668132660676514</v>
      </c>
      <c r="BN18" s="13">
        <v>15.627286911159663</v>
      </c>
      <c r="BO18" s="13">
        <v>16.577199497438972</v>
      </c>
      <c r="BP18" s="13">
        <v>12.887510912637822</v>
      </c>
      <c r="BQ18" s="13">
        <v>10.313015185759483</v>
      </c>
      <c r="BR18" s="13">
        <v>14.951174919519412</v>
      </c>
      <c r="BS18" s="13">
        <v>16.207790659966573</v>
      </c>
      <c r="BT18" s="13">
        <v>14.231823841751776</v>
      </c>
      <c r="BU18" s="13">
        <v>13.518151993881492</v>
      </c>
      <c r="BV18" s="13">
        <v>16.01250816676929</v>
      </c>
      <c r="BW18" s="13">
        <v>15.439088146758341</v>
      </c>
      <c r="BX18" s="13">
        <v>12.725667548955268</v>
      </c>
      <c r="BY18" s="13">
        <v>14.27098946486193</v>
      </c>
      <c r="BZ18" s="13">
        <v>15.351928132084222</v>
      </c>
      <c r="CA18" s="13">
        <v>14.864578263044686</v>
      </c>
      <c r="CB18" s="13">
        <v>11.370142064619429</v>
      </c>
      <c r="CC18" s="13">
        <v>13.195795988758258</v>
      </c>
      <c r="CD18" s="13">
        <v>13.543834101499893</v>
      </c>
      <c r="CE18" s="13">
        <v>14.114352372327357</v>
      </c>
      <c r="CF18" s="13">
        <v>11.491099766340723</v>
      </c>
      <c r="CG18" s="13">
        <v>12.609057586390209</v>
      </c>
      <c r="CH18" s="13">
        <v>15.19295797575152</v>
      </c>
      <c r="CI18" s="13">
        <v>13.553514648798387</v>
      </c>
      <c r="CJ18" s="13">
        <v>12.859585458077719</v>
      </c>
    </row>
    <row r="19" spans="1:88" ht="20.149999999999999" customHeight="1" x14ac:dyDescent="0.25">
      <c r="A19" s="12" t="s">
        <v>15</v>
      </c>
      <c r="B19" s="63">
        <v>14.173595881941567</v>
      </c>
      <c r="C19" s="63">
        <v>17.76695869990975</v>
      </c>
      <c r="D19" s="63">
        <v>15.0019270246256</v>
      </c>
      <c r="E19" s="63">
        <v>17.194762142570461</v>
      </c>
      <c r="F19" s="63">
        <v>13.404480993896195</v>
      </c>
      <c r="G19" s="63">
        <v>15.893119423286603</v>
      </c>
      <c r="H19" s="63">
        <v>13.912101366189244</v>
      </c>
      <c r="I19" s="63">
        <v>13.880434047405089</v>
      </c>
      <c r="J19" s="63">
        <v>14.851499642802768</v>
      </c>
      <c r="K19" s="63">
        <v>11.234212275648128</v>
      </c>
      <c r="L19" s="13">
        <v>12.202324385362745</v>
      </c>
      <c r="M19" s="13">
        <v>13.162346803042629</v>
      </c>
      <c r="N19" s="13">
        <v>12.283145665406098</v>
      </c>
      <c r="O19" s="13">
        <v>11.429506639711633</v>
      </c>
      <c r="P19" s="13">
        <v>9.576889044311276</v>
      </c>
      <c r="Q19" s="13">
        <v>10.725914679607966</v>
      </c>
      <c r="R19" s="94">
        <f t="shared" si="8"/>
        <v>9.9705016553561769</v>
      </c>
      <c r="S19" s="13">
        <v>9.215088631104388</v>
      </c>
      <c r="T19" s="13">
        <v>8.2593108091140532</v>
      </c>
      <c r="U19" s="13">
        <v>9.3851218978225113</v>
      </c>
      <c r="V19" s="13">
        <v>10.352600158735637</v>
      </c>
      <c r="W19" s="13">
        <v>11.029163020473664</v>
      </c>
      <c r="X19" s="13">
        <v>9.3242605942194974</v>
      </c>
      <c r="Y19" s="13">
        <v>10.477807131842253</v>
      </c>
      <c r="Z19" s="13">
        <v>13.89456124301498</v>
      </c>
      <c r="AA19" s="13">
        <v>10.386927245423134</v>
      </c>
      <c r="AB19" s="13">
        <v>8.4887694510884533</v>
      </c>
      <c r="AC19" s="13">
        <v>9.7454012045019489</v>
      </c>
      <c r="AD19" s="13">
        <v>9.149398612782834</v>
      </c>
      <c r="AE19" s="13">
        <v>7.5720194803408134</v>
      </c>
      <c r="AF19" s="13">
        <v>8.0585313464894615</v>
      </c>
      <c r="AG19" s="13">
        <v>8.6800330300434485</v>
      </c>
      <c r="AH19" s="13">
        <v>10.722298301331547</v>
      </c>
      <c r="AI19" s="13">
        <v>8.9756956928165668</v>
      </c>
      <c r="AJ19" s="13">
        <v>5.604203398205442</v>
      </c>
      <c r="AK19" s="13">
        <v>9.2210409554980988</v>
      </c>
      <c r="AL19" s="13">
        <v>7.8269709896419677</v>
      </c>
      <c r="AM19" s="13">
        <v>9.5841130834499175</v>
      </c>
      <c r="AN19" s="13">
        <v>6.5838949099999997</v>
      </c>
      <c r="AO19" s="13">
        <v>10.8352684</v>
      </c>
      <c r="AP19" s="13">
        <v>9.3806412149964942</v>
      </c>
      <c r="AQ19" s="13">
        <v>7.562024502372851</v>
      </c>
      <c r="AR19" s="13">
        <v>7.6065542022695647</v>
      </c>
      <c r="AS19" s="13">
        <v>10.372344766369572</v>
      </c>
      <c r="AT19" s="13">
        <v>10.611441155508865</v>
      </c>
      <c r="AU19" s="13">
        <v>10.632741539775225</v>
      </c>
      <c r="AV19" s="13">
        <v>8.3910190182253075</v>
      </c>
      <c r="AW19" s="13">
        <v>11.006262654800585</v>
      </c>
      <c r="AX19" s="94">
        <f t="shared" si="9"/>
        <v>11.436664776116913</v>
      </c>
      <c r="AY19" s="94">
        <f t="shared" si="10"/>
        <v>11.651865836775078</v>
      </c>
      <c r="AZ19" s="94">
        <f t="shared" si="11"/>
        <v>11.75946636710416</v>
      </c>
      <c r="BA19" s="42">
        <v>11.867066897433244</v>
      </c>
      <c r="BB19" s="13">
        <v>9.7662865530089196</v>
      </c>
      <c r="BC19" s="13">
        <v>11.733829077587622</v>
      </c>
      <c r="BD19" s="13">
        <v>12.306132805824689</v>
      </c>
      <c r="BE19" s="13">
        <v>12.294109782767345</v>
      </c>
      <c r="BF19" s="13">
        <v>12.514634929327453</v>
      </c>
      <c r="BG19" s="13">
        <v>12.347431436126527</v>
      </c>
      <c r="BH19" s="13">
        <v>11.236233458567797</v>
      </c>
      <c r="BI19" s="13">
        <v>12.420357673172147</v>
      </c>
      <c r="BJ19" s="13">
        <v>13.004638337868151</v>
      </c>
      <c r="BK19" s="63">
        <v>13.238909260552912</v>
      </c>
      <c r="BL19" s="13">
        <v>11.780875939500788</v>
      </c>
      <c r="BM19" s="13">
        <v>14.499064561504502</v>
      </c>
      <c r="BN19" s="13">
        <v>12.111806578301424</v>
      </c>
      <c r="BO19" s="13">
        <v>15.090451110602244</v>
      </c>
      <c r="BP19" s="13">
        <v>13.283455022129505</v>
      </c>
      <c r="BQ19" s="13">
        <v>16.955672398155606</v>
      </c>
      <c r="BR19" s="13">
        <v>16.987517465512848</v>
      </c>
      <c r="BS19" s="13">
        <v>16.671156974671224</v>
      </c>
      <c r="BT19" s="13">
        <v>12.302570526791007</v>
      </c>
      <c r="BU19" s="13">
        <v>20.583992632873784</v>
      </c>
      <c r="BV19" s="13">
        <v>16.399892881009475</v>
      </c>
      <c r="BW19" s="13">
        <v>10.529405717527251</v>
      </c>
      <c r="BX19" s="13">
        <v>11.763062135170859</v>
      </c>
      <c r="BY19" s="13">
        <v>11.532049041877803</v>
      </c>
      <c r="BZ19" s="13">
        <v>10.925275676789431</v>
      </c>
      <c r="CA19" s="13">
        <v>9.9548593648418233</v>
      </c>
      <c r="CB19" s="13">
        <v>7.8608439784998891</v>
      </c>
      <c r="CC19" s="13">
        <v>10.565262790642812</v>
      </c>
      <c r="CD19" s="13">
        <v>10.7872685834185</v>
      </c>
      <c r="CE19" s="13">
        <v>9.8459552704717339</v>
      </c>
      <c r="CF19" s="13">
        <v>8.9227974485348778</v>
      </c>
      <c r="CG19" s="13">
        <v>14.230085805802997</v>
      </c>
      <c r="CH19" s="13">
        <v>12.628677864563587</v>
      </c>
      <c r="CI19" s="13">
        <v>13.427384695193798</v>
      </c>
      <c r="CJ19" s="13">
        <v>12.240627972681576</v>
      </c>
    </row>
    <row r="20" spans="1:88" ht="20.149999999999999" customHeight="1" thickBot="1" x14ac:dyDescent="0.3">
      <c r="A20" s="14" t="s">
        <v>16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49"/>
      <c r="S20" s="15"/>
      <c r="T20" s="15"/>
      <c r="U20" s="15"/>
      <c r="V20" s="15"/>
      <c r="W20" s="15"/>
      <c r="X20" s="16"/>
      <c r="Y20" s="16"/>
      <c r="Z20" s="16"/>
      <c r="AA20" s="16"/>
      <c r="AB20" s="16"/>
      <c r="AC20" s="16"/>
      <c r="AD20" s="16"/>
      <c r="AE20" s="16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49"/>
      <c r="AY20" s="49"/>
      <c r="AZ20" s="49"/>
      <c r="BA20" s="43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</row>
    <row r="21" spans="1:88" ht="20.149999999999999" customHeight="1" x14ac:dyDescent="0.25">
      <c r="A21" s="12" t="s">
        <v>17</v>
      </c>
      <c r="B21" s="64">
        <v>25.551081979752055</v>
      </c>
      <c r="C21" s="64">
        <v>22.383954989799598</v>
      </c>
      <c r="D21" s="64">
        <v>24.912679736412048</v>
      </c>
      <c r="E21" s="64">
        <v>23.227749101544319</v>
      </c>
      <c r="F21" s="64">
        <v>22.45226344883341</v>
      </c>
      <c r="G21" s="64">
        <v>20.926534798975755</v>
      </c>
      <c r="H21" s="64">
        <v>17.616735007688362</v>
      </c>
      <c r="I21" s="64">
        <v>20.582781953076715</v>
      </c>
      <c r="J21" s="64">
        <v>20.484498978139154</v>
      </c>
      <c r="K21" s="64">
        <v>22.172778923415191</v>
      </c>
      <c r="L21" s="18">
        <v>18.924289452048559</v>
      </c>
      <c r="M21" s="18">
        <v>16.280202539675347</v>
      </c>
      <c r="N21" s="18">
        <v>17.739815692903971</v>
      </c>
      <c r="O21" s="18">
        <v>16.064788711404095</v>
      </c>
      <c r="P21" s="18">
        <v>16.074508592066412</v>
      </c>
      <c r="Q21" s="18">
        <v>15.496330384874016</v>
      </c>
      <c r="R21" s="94">
        <f t="shared" ref="R21:R26" si="12">+(Q21+S21)/2</f>
        <v>15.663954354287497</v>
      </c>
      <c r="S21" s="18">
        <v>15.831578323700979</v>
      </c>
      <c r="T21" s="18">
        <v>17.181843741031926</v>
      </c>
      <c r="U21" s="18">
        <v>13.648551344733853</v>
      </c>
      <c r="V21" s="18">
        <v>16.276790449937621</v>
      </c>
      <c r="W21" s="18">
        <v>13.842801096061654</v>
      </c>
      <c r="X21" s="18">
        <v>16.762879561315476</v>
      </c>
      <c r="Y21" s="18">
        <v>14.693003057696213</v>
      </c>
      <c r="Z21" s="18">
        <v>18.635283643868402</v>
      </c>
      <c r="AA21" s="18">
        <v>15.845778046515507</v>
      </c>
      <c r="AB21" s="18">
        <v>14.998685369944004</v>
      </c>
      <c r="AC21" s="18">
        <v>18.258343240844621</v>
      </c>
      <c r="AD21" s="18">
        <v>18.201092674381965</v>
      </c>
      <c r="AE21" s="18">
        <v>15.308296827448526</v>
      </c>
      <c r="AF21" s="20">
        <v>13.621725367522238</v>
      </c>
      <c r="AG21" s="20">
        <v>13.99400473555907</v>
      </c>
      <c r="AH21" s="20">
        <v>16.195713799750539</v>
      </c>
      <c r="AI21" s="20">
        <v>11.533330048775682</v>
      </c>
      <c r="AJ21" s="20">
        <v>12.68429458095895</v>
      </c>
      <c r="AK21" s="20">
        <v>15.570779279624686</v>
      </c>
      <c r="AL21" s="20">
        <v>15.365648877351987</v>
      </c>
      <c r="AM21" s="20">
        <v>12.988036656156995</v>
      </c>
      <c r="AN21" s="20">
        <v>15.113159700000001</v>
      </c>
      <c r="AO21" s="20">
        <v>16.2299848</v>
      </c>
      <c r="AP21" s="20">
        <v>11.660257186401523</v>
      </c>
      <c r="AQ21" s="20">
        <v>11.191903069821272</v>
      </c>
      <c r="AR21" s="20">
        <v>14.161695046659165</v>
      </c>
      <c r="AS21" s="20">
        <v>15.199069219236137</v>
      </c>
      <c r="AT21" s="20">
        <v>13.488984604028703</v>
      </c>
      <c r="AU21" s="20">
        <v>12.344853668692627</v>
      </c>
      <c r="AV21" s="20">
        <v>12.170980349070819</v>
      </c>
      <c r="AW21" s="20">
        <v>15.803167588726625</v>
      </c>
      <c r="AX21" s="94">
        <f t="shared" ref="AX21:AX26" si="13">+(AW21+BA21)/2</f>
        <v>15.194305007380727</v>
      </c>
      <c r="AY21" s="94">
        <f t="shared" ref="AY21:AY26" si="14">+(AX21+BA21)/2</f>
        <v>14.889873716707779</v>
      </c>
      <c r="AZ21" s="94">
        <f t="shared" ref="AZ21:AZ26" si="15">+(AY21+BA21)/2</f>
        <v>14.737658071371305</v>
      </c>
      <c r="BA21" s="20">
        <v>14.585442426034831</v>
      </c>
      <c r="BB21" s="20">
        <v>16.655728030837498</v>
      </c>
      <c r="BC21" s="20">
        <v>15.891196296879375</v>
      </c>
      <c r="BD21" s="20">
        <v>13.102836144611601</v>
      </c>
      <c r="BE21" s="20">
        <v>14.869042638941321</v>
      </c>
      <c r="BF21" s="20">
        <v>17.806222672834419</v>
      </c>
      <c r="BG21" s="20">
        <v>13.746852469385388</v>
      </c>
      <c r="BH21" s="20">
        <v>15.920298655885492</v>
      </c>
      <c r="BI21" s="20">
        <v>15.852849770536897</v>
      </c>
      <c r="BJ21" s="20">
        <v>15.218072505609012</v>
      </c>
      <c r="BK21" s="66">
        <v>20.995471241466561</v>
      </c>
      <c r="BL21" s="20">
        <v>15.697089900519115</v>
      </c>
      <c r="BM21" s="20">
        <v>17.834131336342246</v>
      </c>
      <c r="BN21" s="20">
        <v>17.6179974714486</v>
      </c>
      <c r="BO21" s="20">
        <v>15.695741163671306</v>
      </c>
      <c r="BP21" s="20">
        <v>18.60331974134025</v>
      </c>
      <c r="BQ21" s="20">
        <v>18.056270906322695</v>
      </c>
      <c r="BR21" s="20">
        <v>20.116562908017485</v>
      </c>
      <c r="BS21" s="20">
        <v>18.788118098846713</v>
      </c>
      <c r="BT21" s="20">
        <v>14.01785785403076</v>
      </c>
      <c r="BU21" s="20">
        <v>19.903204011811479</v>
      </c>
      <c r="BV21" s="20">
        <v>18.110672009074776</v>
      </c>
      <c r="BW21" s="20">
        <v>15.371765373341317</v>
      </c>
      <c r="BX21" s="20">
        <v>13.70457022058077</v>
      </c>
      <c r="BY21" s="20">
        <v>16.05942695436859</v>
      </c>
      <c r="BZ21" s="20">
        <v>11.293520436917413</v>
      </c>
      <c r="CA21" s="20">
        <v>15.666390628253742</v>
      </c>
      <c r="CB21" s="20">
        <v>12.136819895784463</v>
      </c>
      <c r="CC21" s="20">
        <v>11.954714924504231</v>
      </c>
      <c r="CD21" s="20">
        <v>13.461295502105267</v>
      </c>
      <c r="CE21" s="20">
        <v>14.730139967224565</v>
      </c>
      <c r="CF21" s="20">
        <v>18.216125988823574</v>
      </c>
      <c r="CG21" s="20">
        <v>17.741884731846998</v>
      </c>
      <c r="CH21" s="20">
        <v>14.213969536021196</v>
      </c>
      <c r="CI21" s="20">
        <v>16.495256841357062</v>
      </c>
      <c r="CJ21" s="20">
        <v>18.488715386330149</v>
      </c>
    </row>
    <row r="22" spans="1:88" ht="20.149999999999999" customHeight="1" x14ac:dyDescent="0.25">
      <c r="A22" s="12" t="s">
        <v>18</v>
      </c>
      <c r="B22" s="64">
        <v>21.314851285115584</v>
      </c>
      <c r="C22" s="64">
        <v>20.274375752099786</v>
      </c>
      <c r="D22" s="64">
        <v>18.92146851640593</v>
      </c>
      <c r="E22" s="64">
        <v>19.355736766002643</v>
      </c>
      <c r="F22" s="64">
        <v>19.56310948692839</v>
      </c>
      <c r="G22" s="64">
        <v>19.472018243507371</v>
      </c>
      <c r="H22" s="64">
        <v>16.738357541971698</v>
      </c>
      <c r="I22" s="64">
        <v>16.382804492831436</v>
      </c>
      <c r="J22" s="64">
        <v>17.561730140106402</v>
      </c>
      <c r="K22" s="64">
        <v>15.541446996799097</v>
      </c>
      <c r="L22" s="18">
        <v>14.599971487840147</v>
      </c>
      <c r="M22" s="18">
        <v>15.607072877074529</v>
      </c>
      <c r="N22" s="18">
        <v>14.3562986561705</v>
      </c>
      <c r="O22" s="18">
        <v>14.113672627139684</v>
      </c>
      <c r="P22" s="18">
        <v>12.417963664813355</v>
      </c>
      <c r="Q22" s="18">
        <v>12.704428821789673</v>
      </c>
      <c r="R22" s="94">
        <f t="shared" si="12"/>
        <v>12.092703574056813</v>
      </c>
      <c r="S22" s="18">
        <v>11.480978326323953</v>
      </c>
      <c r="T22" s="18">
        <v>10.979439583708327</v>
      </c>
      <c r="U22" s="18">
        <v>11.582064242336831</v>
      </c>
      <c r="V22" s="18">
        <v>12.389569088885356</v>
      </c>
      <c r="W22" s="18">
        <v>11.935452878306503</v>
      </c>
      <c r="X22" s="18">
        <v>11.980282545884325</v>
      </c>
      <c r="Y22" s="18">
        <v>14.262100231222883</v>
      </c>
      <c r="Z22" s="18">
        <v>14.068466572208576</v>
      </c>
      <c r="AA22" s="18">
        <v>12.375017376661694</v>
      </c>
      <c r="AB22" s="18">
        <v>13.21853241398731</v>
      </c>
      <c r="AC22" s="18">
        <v>13.256608338615788</v>
      </c>
      <c r="AD22" s="18">
        <v>11.090693714370326</v>
      </c>
      <c r="AE22" s="18">
        <v>9.0753911942382288</v>
      </c>
      <c r="AF22" s="20">
        <v>12.012578526263116</v>
      </c>
      <c r="AG22" s="20">
        <v>10.445544981827704</v>
      </c>
      <c r="AH22" s="20">
        <v>11.515388881285233</v>
      </c>
      <c r="AI22" s="20">
        <v>11.153121125199347</v>
      </c>
      <c r="AJ22" s="20">
        <v>10.99288030419229</v>
      </c>
      <c r="AK22" s="20">
        <v>11.52018363763459</v>
      </c>
      <c r="AL22" s="20">
        <v>12.73049237345217</v>
      </c>
      <c r="AM22" s="20">
        <v>12.229260819759597</v>
      </c>
      <c r="AN22" s="20">
        <v>10.4616913</v>
      </c>
      <c r="AO22" s="20">
        <v>12.604528699999999</v>
      </c>
      <c r="AP22" s="20">
        <v>10.354682588054148</v>
      </c>
      <c r="AQ22" s="20">
        <v>9.6901541914553615</v>
      </c>
      <c r="AR22" s="20">
        <v>10.542691174487457</v>
      </c>
      <c r="AS22" s="20">
        <v>11.76738643591162</v>
      </c>
      <c r="AT22" s="20">
        <v>11.70095218634045</v>
      </c>
      <c r="AU22" s="20">
        <v>9.8225258474829698</v>
      </c>
      <c r="AV22" s="20">
        <v>10.647491802341287</v>
      </c>
      <c r="AW22" s="20">
        <v>11.273221675227429</v>
      </c>
      <c r="AX22" s="94">
        <f t="shared" si="13"/>
        <v>12.553966459853692</v>
      </c>
      <c r="AY22" s="94">
        <f t="shared" si="14"/>
        <v>13.194338852166823</v>
      </c>
      <c r="AZ22" s="94">
        <f t="shared" si="15"/>
        <v>13.514525048323389</v>
      </c>
      <c r="BA22" s="20">
        <v>13.834711244479955</v>
      </c>
      <c r="BB22" s="20">
        <v>11.608293293910926</v>
      </c>
      <c r="BC22" s="20">
        <v>12.95232614333514</v>
      </c>
      <c r="BD22" s="20">
        <v>13.122078997796912</v>
      </c>
      <c r="BE22" s="20">
        <v>13.049574299638042</v>
      </c>
      <c r="BF22" s="20">
        <v>12.42533762552744</v>
      </c>
      <c r="BG22" s="20">
        <v>12.518678079352515</v>
      </c>
      <c r="BH22" s="20">
        <v>10.857092766357173</v>
      </c>
      <c r="BI22" s="20">
        <v>13.607829771197549</v>
      </c>
      <c r="BJ22" s="20">
        <v>15.710785924564478</v>
      </c>
      <c r="BK22" s="66">
        <v>14.413074609121695</v>
      </c>
      <c r="BL22" s="20">
        <v>15.152472889132016</v>
      </c>
      <c r="BM22" s="20">
        <v>15.645102660808952</v>
      </c>
      <c r="BN22" s="20">
        <v>15.342376959737363</v>
      </c>
      <c r="BO22" s="20">
        <v>15.488132362139956</v>
      </c>
      <c r="BP22" s="20">
        <v>15.387928014358321</v>
      </c>
      <c r="BQ22" s="20">
        <v>11.447025219631835</v>
      </c>
      <c r="BR22" s="20">
        <v>17.027918447683252</v>
      </c>
      <c r="BS22" s="20">
        <v>21.846997670252993</v>
      </c>
      <c r="BT22" s="20">
        <v>16.149843093661769</v>
      </c>
      <c r="BU22" s="20">
        <v>17.255479270674208</v>
      </c>
      <c r="BV22" s="20">
        <v>14.013655749971029</v>
      </c>
      <c r="BW22" s="20">
        <v>12.906001453908628</v>
      </c>
      <c r="BX22" s="20">
        <v>13.560266961864883</v>
      </c>
      <c r="BY22" s="20">
        <v>13.532831648067297</v>
      </c>
      <c r="BZ22" s="20">
        <v>11.393307254430486</v>
      </c>
      <c r="CA22" s="20">
        <v>11.624566427714401</v>
      </c>
      <c r="CB22" s="20">
        <v>11.542694120596481</v>
      </c>
      <c r="CC22" s="20">
        <v>12.974299383527162</v>
      </c>
      <c r="CD22" s="20">
        <v>13.071800954623239</v>
      </c>
      <c r="CE22" s="20">
        <v>13.918848960153932</v>
      </c>
      <c r="CF22" s="20">
        <v>14.086500992498612</v>
      </c>
      <c r="CG22" s="20">
        <v>15.055802873653413</v>
      </c>
      <c r="CH22" s="20">
        <v>16.950307459893381</v>
      </c>
      <c r="CI22" s="20">
        <v>15.639092263341098</v>
      </c>
      <c r="CJ22" s="20">
        <v>12.612382608462577</v>
      </c>
    </row>
    <row r="23" spans="1:88" ht="20.149999999999999" customHeight="1" x14ac:dyDescent="0.25">
      <c r="A23" s="12" t="s">
        <v>19</v>
      </c>
      <c r="B23" s="64">
        <v>17.910693712988827</v>
      </c>
      <c r="C23" s="64">
        <v>18.445712135436469</v>
      </c>
      <c r="D23" s="64">
        <v>19.698136825381539</v>
      </c>
      <c r="E23" s="64">
        <v>16.855496824025966</v>
      </c>
      <c r="F23" s="64">
        <v>17.567422391734176</v>
      </c>
      <c r="G23" s="64">
        <v>14.744495835873156</v>
      </c>
      <c r="H23" s="64">
        <v>14.23873792688782</v>
      </c>
      <c r="I23" s="64">
        <v>14.613384342786997</v>
      </c>
      <c r="J23" s="64">
        <v>15.892970375910508</v>
      </c>
      <c r="K23" s="64">
        <v>11.364551499263138</v>
      </c>
      <c r="L23" s="18">
        <v>12.788870450304641</v>
      </c>
      <c r="M23" s="18">
        <v>14.997531531863725</v>
      </c>
      <c r="N23" s="18">
        <v>12.668790387180232</v>
      </c>
      <c r="O23" s="18">
        <v>13.222158846123508</v>
      </c>
      <c r="P23" s="18">
        <v>11.230343688458131</v>
      </c>
      <c r="Q23" s="18">
        <v>10.993040289429324</v>
      </c>
      <c r="R23" s="94">
        <f t="shared" si="12"/>
        <v>10.878110266423818</v>
      </c>
      <c r="S23" s="18">
        <v>10.763180243418313</v>
      </c>
      <c r="T23" s="18">
        <v>9.1604698175490675</v>
      </c>
      <c r="U23" s="18">
        <v>9.9437133877141708</v>
      </c>
      <c r="V23" s="18">
        <v>10.221881637033697</v>
      </c>
      <c r="W23" s="18">
        <v>10.349435665024048</v>
      </c>
      <c r="X23" s="18">
        <v>10.802939351578445</v>
      </c>
      <c r="Y23" s="18">
        <v>13.173862287079841</v>
      </c>
      <c r="Z23" s="18">
        <v>11.081135695165486</v>
      </c>
      <c r="AA23" s="18">
        <v>12.993071378564943</v>
      </c>
      <c r="AB23" s="18">
        <v>10.651451469776832</v>
      </c>
      <c r="AC23" s="18">
        <v>11.689743196916851</v>
      </c>
      <c r="AD23" s="18">
        <v>10.418360781834789</v>
      </c>
      <c r="AE23" s="18">
        <v>10.047112727070397</v>
      </c>
      <c r="AF23" s="20">
        <v>9.2832918096425736</v>
      </c>
      <c r="AG23" s="20">
        <v>10.026916146889395</v>
      </c>
      <c r="AH23" s="20">
        <v>9.5959015749577787</v>
      </c>
      <c r="AI23" s="20">
        <v>10.806853126372822</v>
      </c>
      <c r="AJ23" s="20">
        <v>9.1224195656595022</v>
      </c>
      <c r="AK23" s="20">
        <v>11.026459275005651</v>
      </c>
      <c r="AL23" s="20">
        <v>9.5306865327439834</v>
      </c>
      <c r="AM23" s="20">
        <v>11.634202409098259</v>
      </c>
      <c r="AN23" s="20">
        <v>10.414233400000001</v>
      </c>
      <c r="AO23" s="20">
        <v>12.061697000000001</v>
      </c>
      <c r="AP23" s="20">
        <v>11.394887852667537</v>
      </c>
      <c r="AQ23" s="20">
        <v>10.528131666947585</v>
      </c>
      <c r="AR23" s="20">
        <v>10.076002406906271</v>
      </c>
      <c r="AS23" s="20">
        <v>12.084767945894479</v>
      </c>
      <c r="AT23" s="20">
        <v>10.94667285089395</v>
      </c>
      <c r="AU23" s="20">
        <v>11.061319000236352</v>
      </c>
      <c r="AV23" s="20">
        <v>8.8148479048918151</v>
      </c>
      <c r="AW23" s="20">
        <v>11.356656016395434</v>
      </c>
      <c r="AX23" s="94">
        <f t="shared" si="13"/>
        <v>12.570834822373035</v>
      </c>
      <c r="AY23" s="94">
        <f t="shared" si="14"/>
        <v>13.177924225361835</v>
      </c>
      <c r="AZ23" s="94">
        <f t="shared" si="15"/>
        <v>13.481468926856236</v>
      </c>
      <c r="BA23" s="20">
        <v>13.785013628350637</v>
      </c>
      <c r="BB23" s="20">
        <v>13.292187624791929</v>
      </c>
      <c r="BC23" s="20">
        <v>13.267966859057903</v>
      </c>
      <c r="BD23" s="20">
        <v>12.433486922371991</v>
      </c>
      <c r="BE23" s="20">
        <v>13.400777026236337</v>
      </c>
      <c r="BF23" s="20">
        <v>13.710673105455779</v>
      </c>
      <c r="BG23" s="20">
        <v>15.07616579076644</v>
      </c>
      <c r="BH23" s="20">
        <v>13.248870433412725</v>
      </c>
      <c r="BI23" s="20">
        <v>14.545144673359525</v>
      </c>
      <c r="BJ23" s="20">
        <v>14.052365967127509</v>
      </c>
      <c r="BK23" s="66">
        <v>16.953932051677263</v>
      </c>
      <c r="BL23" s="20">
        <v>16.597959916083955</v>
      </c>
      <c r="BM23" s="20">
        <v>17.341940951961281</v>
      </c>
      <c r="BN23" s="20">
        <v>15.75423287704831</v>
      </c>
      <c r="BO23" s="20">
        <v>17.622773956551807</v>
      </c>
      <c r="BP23" s="20">
        <v>15.876037262504166</v>
      </c>
      <c r="BQ23" s="20">
        <v>11.502930971226631</v>
      </c>
      <c r="BR23" s="20">
        <v>19.422704704199276</v>
      </c>
      <c r="BS23" s="20">
        <v>18.549694772034801</v>
      </c>
      <c r="BT23" s="20">
        <v>15.216265401061349</v>
      </c>
      <c r="BU23" s="20">
        <v>14.985033596411629</v>
      </c>
      <c r="BV23" s="20">
        <v>17.336883986122473</v>
      </c>
      <c r="BW23" s="20">
        <v>15.886687136124808</v>
      </c>
      <c r="BX23" s="20">
        <v>12.688826229063999</v>
      </c>
      <c r="BY23" s="20">
        <v>15.118833607305</v>
      </c>
      <c r="BZ23" s="20">
        <v>14.990651252205515</v>
      </c>
      <c r="CA23" s="20">
        <v>13.06920711525342</v>
      </c>
      <c r="CB23" s="20">
        <v>12.82312475621589</v>
      </c>
      <c r="CC23" s="20">
        <v>15.8561904366123</v>
      </c>
      <c r="CD23" s="20">
        <v>13.926649044445169</v>
      </c>
      <c r="CE23" s="20">
        <v>13.335283316136906</v>
      </c>
      <c r="CF23" s="20">
        <v>13.036070898759499</v>
      </c>
      <c r="CG23" s="20">
        <v>15.709646207768721</v>
      </c>
      <c r="CH23" s="20">
        <v>16.607839696906503</v>
      </c>
      <c r="CI23" s="20">
        <v>14.979196667215755</v>
      </c>
      <c r="CJ23" s="20">
        <v>14.863522501511618</v>
      </c>
    </row>
    <row r="24" spans="1:88" ht="20.149999999999999" customHeight="1" x14ac:dyDescent="0.25">
      <c r="A24" s="12" t="s">
        <v>20</v>
      </c>
      <c r="B24" s="64">
        <v>11.445626259739479</v>
      </c>
      <c r="C24" s="64">
        <v>12.715736855103247</v>
      </c>
      <c r="D24" s="64">
        <v>10.516868389860393</v>
      </c>
      <c r="E24" s="64">
        <v>11.505944343527197</v>
      </c>
      <c r="F24" s="64">
        <v>11.771226087665521</v>
      </c>
      <c r="G24" s="64">
        <v>11.069365137458204</v>
      </c>
      <c r="H24" s="64">
        <v>10.190230430708977</v>
      </c>
      <c r="I24" s="64">
        <v>9.532247196656817</v>
      </c>
      <c r="J24" s="64">
        <v>9.7379432309052678</v>
      </c>
      <c r="K24" s="64">
        <v>9.3495034674063788</v>
      </c>
      <c r="L24" s="18">
        <v>8.8852402736826921</v>
      </c>
      <c r="M24" s="18">
        <v>8.6416010327330071</v>
      </c>
      <c r="N24" s="18">
        <v>7.9194863546160015</v>
      </c>
      <c r="O24" s="18">
        <v>8.4270709666939787</v>
      </c>
      <c r="P24" s="18">
        <v>7.0235289401956074</v>
      </c>
      <c r="Q24" s="18">
        <v>9.1530287991452504</v>
      </c>
      <c r="R24" s="94">
        <f t="shared" si="12"/>
        <v>8.1245804857640529</v>
      </c>
      <c r="S24" s="18">
        <v>7.0961321723828537</v>
      </c>
      <c r="T24" s="18">
        <v>7.2400522367709055</v>
      </c>
      <c r="U24" s="18">
        <v>6.9229576578141661</v>
      </c>
      <c r="V24" s="18">
        <v>7.8095850263056708</v>
      </c>
      <c r="W24" s="18">
        <v>7.3776511379282779</v>
      </c>
      <c r="X24" s="18">
        <v>7.2339100855223313</v>
      </c>
      <c r="Y24" s="18">
        <v>8.7376658329738355</v>
      </c>
      <c r="Z24" s="18">
        <v>9.4827505523754123</v>
      </c>
      <c r="AA24" s="18">
        <v>8.1054466699769758</v>
      </c>
      <c r="AB24" s="18">
        <v>7.6839282812611405</v>
      </c>
      <c r="AC24" s="18">
        <v>8.159282031680597</v>
      </c>
      <c r="AD24" s="18">
        <v>7.4030948717255241</v>
      </c>
      <c r="AE24" s="18">
        <v>7.1184864402361772</v>
      </c>
      <c r="AF24" s="20">
        <v>7.1061946492276622</v>
      </c>
      <c r="AG24" s="20">
        <v>6.9212545956365359</v>
      </c>
      <c r="AH24" s="20">
        <v>7.3881888693110032</v>
      </c>
      <c r="AI24" s="20">
        <v>5.9322977581750562</v>
      </c>
      <c r="AJ24" s="20">
        <v>6.0605177811547062</v>
      </c>
      <c r="AK24" s="20">
        <v>8.4178490865893671</v>
      </c>
      <c r="AL24" s="20">
        <v>7.7020586050456075</v>
      </c>
      <c r="AM24" s="20">
        <v>6.8373347859388742</v>
      </c>
      <c r="AN24" s="20">
        <v>6.7314090999999996</v>
      </c>
      <c r="AO24" s="20">
        <v>8.2488496399999995</v>
      </c>
      <c r="AP24" s="20">
        <v>8.0257602571036983</v>
      </c>
      <c r="AQ24" s="20">
        <v>6.3140289980446838</v>
      </c>
      <c r="AR24" s="20">
        <v>6.4341112287366746</v>
      </c>
      <c r="AS24" s="20">
        <v>7.061506270515844</v>
      </c>
      <c r="AT24" s="20">
        <v>8.3069965733798963</v>
      </c>
      <c r="AU24" s="20">
        <v>8.8072759492088064</v>
      </c>
      <c r="AV24" s="20">
        <v>6.196889882245161</v>
      </c>
      <c r="AW24" s="20">
        <v>7.9531512200059922</v>
      </c>
      <c r="AX24" s="94">
        <f t="shared" si="13"/>
        <v>8.7253949867854743</v>
      </c>
      <c r="AY24" s="94">
        <f t="shared" si="14"/>
        <v>9.1115168701752154</v>
      </c>
      <c r="AZ24" s="94">
        <f t="shared" si="15"/>
        <v>9.3045778118700859</v>
      </c>
      <c r="BA24" s="20">
        <v>9.4976387535649547</v>
      </c>
      <c r="BB24" s="20">
        <v>8.8169496683475188</v>
      </c>
      <c r="BC24" s="20">
        <v>8.4241530134125693</v>
      </c>
      <c r="BD24" s="20">
        <v>8.907562633665858</v>
      </c>
      <c r="BE24" s="20">
        <v>9.3027180707460175</v>
      </c>
      <c r="BF24" s="20">
        <v>10.139399685928513</v>
      </c>
      <c r="BG24" s="20">
        <v>8.2536852469052615</v>
      </c>
      <c r="BH24" s="20">
        <v>9.3503061481162035</v>
      </c>
      <c r="BI24" s="20">
        <v>10.408405227679065</v>
      </c>
      <c r="BJ24" s="20">
        <v>11.020758926177376</v>
      </c>
      <c r="BK24" s="66">
        <v>10.642131798485289</v>
      </c>
      <c r="BL24" s="20">
        <v>11.162789211742425</v>
      </c>
      <c r="BM24" s="20">
        <v>11.581752482521113</v>
      </c>
      <c r="BN24" s="20">
        <v>11.661514445077245</v>
      </c>
      <c r="BO24" s="20">
        <v>12.018306034347372</v>
      </c>
      <c r="BP24" s="20">
        <v>10.231933345308452</v>
      </c>
      <c r="BQ24" s="20">
        <v>10.048072603108995</v>
      </c>
      <c r="BR24" s="20">
        <v>11.92434481337574</v>
      </c>
      <c r="BS24" s="20">
        <v>14.740010617526544</v>
      </c>
      <c r="BT24" s="20">
        <v>11.515842823612193</v>
      </c>
      <c r="BU24" s="20">
        <v>11.576253941786561</v>
      </c>
      <c r="BV24" s="20">
        <v>9.9045432986870452</v>
      </c>
      <c r="BW24" s="20">
        <v>12.202328288160096</v>
      </c>
      <c r="BX24" s="20">
        <v>9.4225031597723508</v>
      </c>
      <c r="BY24" s="20">
        <v>10.3759138400794</v>
      </c>
      <c r="BZ24" s="20">
        <v>11.591508371064146</v>
      </c>
      <c r="CA24" s="20">
        <v>10.961327232414861</v>
      </c>
      <c r="CB24" s="20">
        <v>9.1609770602182383</v>
      </c>
      <c r="CC24" s="20">
        <v>9.9785823767419455</v>
      </c>
      <c r="CD24" s="20">
        <v>10.04325603911688</v>
      </c>
      <c r="CE24" s="20">
        <v>10.549176593446534</v>
      </c>
      <c r="CF24" s="20">
        <v>9.5854733556628524</v>
      </c>
      <c r="CG24" s="20">
        <v>10.704124715515247</v>
      </c>
      <c r="CH24" s="20">
        <v>10.98640446320675</v>
      </c>
      <c r="CI24" s="20">
        <v>10.745970590813073</v>
      </c>
      <c r="CJ24" s="20">
        <v>9.4468791420054661</v>
      </c>
    </row>
    <row r="25" spans="1:88" ht="20.149999999999999" customHeight="1" x14ac:dyDescent="0.25">
      <c r="A25" s="12" t="s">
        <v>21</v>
      </c>
      <c r="B25" s="64">
        <v>13.175376728150933</v>
      </c>
      <c r="C25" s="64">
        <v>12.890705126428243</v>
      </c>
      <c r="D25" s="64">
        <v>11.963080103161349</v>
      </c>
      <c r="E25" s="64">
        <v>12.096948372478412</v>
      </c>
      <c r="F25" s="64">
        <v>9.3284969491724912</v>
      </c>
      <c r="G25" s="64">
        <v>11.785593280488964</v>
      </c>
      <c r="H25" s="64">
        <v>9.4974978707536888</v>
      </c>
      <c r="I25" s="64">
        <v>10.116362232351319</v>
      </c>
      <c r="J25" s="64">
        <v>9.8188854263263536</v>
      </c>
      <c r="K25" s="64">
        <v>9.7486767735805326</v>
      </c>
      <c r="L25" s="18">
        <v>7.8816917853789903</v>
      </c>
      <c r="M25" s="18">
        <v>10.383168777925947</v>
      </c>
      <c r="N25" s="18">
        <v>9.6787059339392005</v>
      </c>
      <c r="O25" s="18">
        <v>8.1872675194732825</v>
      </c>
      <c r="P25" s="18">
        <v>6.5695087973153949</v>
      </c>
      <c r="Q25" s="18">
        <v>7.1281208707690658</v>
      </c>
      <c r="R25" s="94">
        <f t="shared" si="12"/>
        <v>7.1499492706425887</v>
      </c>
      <c r="S25" s="18">
        <v>7.1717776705161125</v>
      </c>
      <c r="T25" s="18">
        <v>5.9942841868821244</v>
      </c>
      <c r="U25" s="18">
        <v>7.493233140258428</v>
      </c>
      <c r="V25" s="18">
        <v>8.2411050020539065</v>
      </c>
      <c r="W25" s="18">
        <v>8.3377342684995366</v>
      </c>
      <c r="X25" s="18">
        <v>6.50019730215267</v>
      </c>
      <c r="Y25" s="18">
        <v>8.0896226856720919</v>
      </c>
      <c r="Z25" s="18">
        <v>9.1685756386285124</v>
      </c>
      <c r="AA25" s="18">
        <v>10.448936646686958</v>
      </c>
      <c r="AB25" s="18">
        <v>7.1366744487484075</v>
      </c>
      <c r="AC25" s="18">
        <v>7.5876236562616386</v>
      </c>
      <c r="AD25" s="18">
        <v>7.7401615925778016</v>
      </c>
      <c r="AE25" s="18">
        <v>9.170369941619926</v>
      </c>
      <c r="AF25" s="20">
        <v>7.2599569352405329</v>
      </c>
      <c r="AG25" s="20">
        <v>7.9393853059622419</v>
      </c>
      <c r="AH25" s="20">
        <v>8.3617471933532048</v>
      </c>
      <c r="AI25" s="20">
        <v>7.7521005302978132</v>
      </c>
      <c r="AJ25" s="20">
        <v>5.1085452427384421</v>
      </c>
      <c r="AK25" s="20">
        <v>7.929977202322255</v>
      </c>
      <c r="AL25" s="20">
        <v>8.5144584630251963</v>
      </c>
      <c r="AM25" s="20">
        <v>8.262972602342554</v>
      </c>
      <c r="AN25" s="20">
        <v>6.4380476099999999</v>
      </c>
      <c r="AO25" s="20">
        <v>8.7910681799999999</v>
      </c>
      <c r="AP25" s="20">
        <v>8.6210035920081953</v>
      </c>
      <c r="AQ25" s="20">
        <v>7.7844864516681005</v>
      </c>
      <c r="AR25" s="20">
        <v>8.4912244904083032</v>
      </c>
      <c r="AS25" s="20">
        <v>10.120056283475051</v>
      </c>
      <c r="AT25" s="20">
        <v>9.5938650123921576</v>
      </c>
      <c r="AU25" s="20">
        <v>9.7988366722440432</v>
      </c>
      <c r="AV25" s="20">
        <v>8.0687704803429838</v>
      </c>
      <c r="AW25" s="20">
        <v>8.0161416828860208</v>
      </c>
      <c r="AX25" s="94">
        <f t="shared" si="13"/>
        <v>9.2669141948181135</v>
      </c>
      <c r="AY25" s="94">
        <f t="shared" si="14"/>
        <v>9.892300450784159</v>
      </c>
      <c r="AZ25" s="94">
        <f t="shared" si="15"/>
        <v>10.204993578767182</v>
      </c>
      <c r="BA25" s="20">
        <v>10.517686706750204</v>
      </c>
      <c r="BB25" s="20">
        <v>9.6822352255859805</v>
      </c>
      <c r="BC25" s="20">
        <v>10.616057828609666</v>
      </c>
      <c r="BD25" s="20">
        <v>9.8024442907856635</v>
      </c>
      <c r="BE25" s="20">
        <v>11.526635531279927</v>
      </c>
      <c r="BF25" s="20">
        <v>9.4595297726106029</v>
      </c>
      <c r="BG25" s="20">
        <v>10.359041539041529</v>
      </c>
      <c r="BH25" s="20">
        <v>8.888149851553317</v>
      </c>
      <c r="BI25" s="20">
        <v>11.102464803355621</v>
      </c>
      <c r="BJ25" s="20">
        <v>11.957914290366475</v>
      </c>
      <c r="BK25" s="66">
        <v>9.8517892468532828</v>
      </c>
      <c r="BL25" s="20">
        <v>11.086267180354312</v>
      </c>
      <c r="BM25" s="20">
        <v>13.534704648715806</v>
      </c>
      <c r="BN25" s="20">
        <v>13.176605044712675</v>
      </c>
      <c r="BO25" s="20">
        <v>12.793822364933149</v>
      </c>
      <c r="BP25" s="20">
        <v>11.807291891065262</v>
      </c>
      <c r="BQ25" s="20">
        <v>8.426399882556499</v>
      </c>
      <c r="BR25" s="20">
        <v>12.150822646237645</v>
      </c>
      <c r="BS25" s="20">
        <v>15.31611008134854</v>
      </c>
      <c r="BT25" s="20">
        <v>11.433355018429349</v>
      </c>
      <c r="BU25" s="20">
        <v>12.733207347952598</v>
      </c>
      <c r="BV25" s="20">
        <v>13.289459058018901</v>
      </c>
      <c r="BW25" s="20">
        <v>11.75038138861107</v>
      </c>
      <c r="BX25" s="20">
        <v>10.295606907231353</v>
      </c>
      <c r="BY25" s="20">
        <v>11.600694949399168</v>
      </c>
      <c r="BZ25" s="20">
        <v>12.409661079468851</v>
      </c>
      <c r="CA25" s="20">
        <v>10.86738970284228</v>
      </c>
      <c r="CB25" s="20">
        <v>8.8798665578308551</v>
      </c>
      <c r="CC25" s="20">
        <v>10.566695623188579</v>
      </c>
      <c r="CD25" s="20">
        <v>10.533857347245002</v>
      </c>
      <c r="CE25" s="20">
        <v>11.212382968730374</v>
      </c>
      <c r="CF25" s="20">
        <v>10.234536172018858</v>
      </c>
      <c r="CG25" s="20">
        <v>11.868189515955828</v>
      </c>
      <c r="CH25" s="20">
        <v>11.953670197093206</v>
      </c>
      <c r="CI25" s="20">
        <v>12.847996904604312</v>
      </c>
      <c r="CJ25" s="20">
        <v>8.6505473182081563</v>
      </c>
    </row>
    <row r="26" spans="1:88" ht="20.149999999999999" customHeight="1" x14ac:dyDescent="0.25">
      <c r="A26" s="12" t="s">
        <v>22</v>
      </c>
      <c r="B26" s="64">
        <v>13.138075026677601</v>
      </c>
      <c r="C26" s="64">
        <v>11.69532988825984</v>
      </c>
      <c r="D26" s="64">
        <v>10.108999229334811</v>
      </c>
      <c r="E26" s="64">
        <v>10.669091862977179</v>
      </c>
      <c r="F26" s="64">
        <v>11.551730292109138</v>
      </c>
      <c r="G26" s="64">
        <v>8.4680187818521961</v>
      </c>
      <c r="H26" s="64">
        <v>7.4541347179967303</v>
      </c>
      <c r="I26" s="64">
        <v>8.9794480540308754</v>
      </c>
      <c r="J26" s="64">
        <v>7.4741173354564925</v>
      </c>
      <c r="K26" s="64">
        <v>7.7967537597660606</v>
      </c>
      <c r="L26" s="18">
        <v>6.418848957077758</v>
      </c>
      <c r="M26" s="18">
        <v>8.582147083881269</v>
      </c>
      <c r="N26" s="18">
        <v>6.7205548779265474</v>
      </c>
      <c r="O26" s="18">
        <v>7.1399799697347079</v>
      </c>
      <c r="P26" s="18">
        <v>6.0298216744467208</v>
      </c>
      <c r="Q26" s="18">
        <v>7.3837148841977038</v>
      </c>
      <c r="R26" s="94">
        <f t="shared" si="12"/>
        <v>7.0515502413791289</v>
      </c>
      <c r="S26" s="18">
        <v>6.719385598560554</v>
      </c>
      <c r="T26" s="18">
        <v>4.7046776556255603</v>
      </c>
      <c r="U26" s="18">
        <v>5.7925840995507061</v>
      </c>
      <c r="V26" s="18">
        <v>6.0762097417945489</v>
      </c>
      <c r="W26" s="18">
        <v>6.3939047625988481</v>
      </c>
      <c r="X26" s="18">
        <v>6.0496777247348685</v>
      </c>
      <c r="Y26" s="18">
        <v>7.1921220171136406</v>
      </c>
      <c r="Z26" s="18">
        <v>6.624864111114678</v>
      </c>
      <c r="AA26" s="18">
        <v>6.8223899920671442</v>
      </c>
      <c r="AB26" s="18">
        <v>6.2008818027777002</v>
      </c>
      <c r="AC26" s="18">
        <v>6.7704786504584513</v>
      </c>
      <c r="AD26" s="18">
        <v>5.4743521678233753</v>
      </c>
      <c r="AE26" s="18">
        <v>5.798036015534767</v>
      </c>
      <c r="AF26" s="20">
        <v>4.6445939614955707</v>
      </c>
      <c r="AG26" s="20">
        <v>6.0911094537233046</v>
      </c>
      <c r="AH26" s="20">
        <v>5.9856843788236942</v>
      </c>
      <c r="AI26" s="20">
        <v>7.2070103061764339</v>
      </c>
      <c r="AJ26" s="20">
        <v>4.8829752696773241</v>
      </c>
      <c r="AK26" s="20">
        <v>6.7917143468979413</v>
      </c>
      <c r="AL26" s="20">
        <v>5.3563567323725332</v>
      </c>
      <c r="AM26" s="20">
        <v>6.5807851418049719</v>
      </c>
      <c r="AN26" s="20">
        <v>5.1566833699999997</v>
      </c>
      <c r="AO26" s="20">
        <v>6.6529252699999999</v>
      </c>
      <c r="AP26" s="20">
        <v>5.7186190517120847</v>
      </c>
      <c r="AQ26" s="20">
        <v>4.9928336338188837</v>
      </c>
      <c r="AR26" s="20">
        <v>4.8320067356729943</v>
      </c>
      <c r="AS26" s="20">
        <v>6.4706425042257445</v>
      </c>
      <c r="AT26" s="20">
        <v>5.9765085981383859</v>
      </c>
      <c r="AU26" s="20">
        <v>6.0004827116128308</v>
      </c>
      <c r="AV26" s="20">
        <v>4.6485444617336098</v>
      </c>
      <c r="AW26" s="20">
        <v>5.9453910550286002</v>
      </c>
      <c r="AX26" s="94">
        <f t="shared" si="13"/>
        <v>6.9873626884510944</v>
      </c>
      <c r="AY26" s="94">
        <f t="shared" si="14"/>
        <v>7.508348505162342</v>
      </c>
      <c r="AZ26" s="94">
        <f t="shared" si="15"/>
        <v>7.7688414135179658</v>
      </c>
      <c r="BA26" s="20">
        <v>8.0293343218735895</v>
      </c>
      <c r="BB26" s="20">
        <v>7.1656328733100461</v>
      </c>
      <c r="BC26" s="20">
        <v>7.3063282865981138</v>
      </c>
      <c r="BD26" s="20">
        <v>6.483348023802292</v>
      </c>
      <c r="BE26" s="20">
        <v>8.4411781161394117</v>
      </c>
      <c r="BF26" s="20">
        <v>7.7519267035477322</v>
      </c>
      <c r="BG26" s="20">
        <v>6.4993538137508997</v>
      </c>
      <c r="BH26" s="20">
        <v>6.5793196334176978</v>
      </c>
      <c r="BI26" s="20">
        <v>7.3568438738406376</v>
      </c>
      <c r="BJ26" s="20">
        <v>7.9813500000177982</v>
      </c>
      <c r="BK26" s="66">
        <v>8.4033209287412465</v>
      </c>
      <c r="BL26" s="20">
        <v>6.5714658888066522</v>
      </c>
      <c r="BM26" s="20">
        <v>9.3246200459333402</v>
      </c>
      <c r="BN26" s="20">
        <v>9.4583477262689755</v>
      </c>
      <c r="BO26" s="20">
        <v>9.4602960531404303</v>
      </c>
      <c r="BP26" s="20">
        <v>6.7398950705141711</v>
      </c>
      <c r="BQ26" s="20">
        <v>6.4412101137392419</v>
      </c>
      <c r="BR26" s="20">
        <v>8.6634981476801052</v>
      </c>
      <c r="BS26" s="20">
        <v>8.1386704977560456</v>
      </c>
      <c r="BT26" s="20">
        <v>8.0766665542578586</v>
      </c>
      <c r="BU26" s="20">
        <v>8.3362617636827938</v>
      </c>
      <c r="BV26" s="20">
        <v>9.0060290863478762</v>
      </c>
      <c r="BW26" s="20">
        <v>8.850652749539627</v>
      </c>
      <c r="BX26" s="20">
        <v>6.5003072467647831</v>
      </c>
      <c r="BY26" s="20">
        <v>7.0376763049698132</v>
      </c>
      <c r="BZ26" s="20">
        <v>6.1853409821475784</v>
      </c>
      <c r="CA26" s="20">
        <v>8.2411976596497816</v>
      </c>
      <c r="CB26" s="20">
        <v>6.0055426969823484</v>
      </c>
      <c r="CC26" s="20">
        <v>6.3713980986231835</v>
      </c>
      <c r="CD26" s="20">
        <v>6.5263555820559258</v>
      </c>
      <c r="CE26" s="20">
        <v>5.9657190540006804</v>
      </c>
      <c r="CF26" s="20">
        <v>6.3372499820477861</v>
      </c>
      <c r="CG26" s="20">
        <v>8.1820556505283815</v>
      </c>
      <c r="CH26" s="20">
        <v>5.6580036020956559</v>
      </c>
      <c r="CI26" s="20">
        <v>6.5432422498823213</v>
      </c>
      <c r="CJ26" s="20">
        <v>6.1120510488153128</v>
      </c>
    </row>
    <row r="27" spans="1:88" ht="20.149999999999999" customHeight="1" thickBot="1" x14ac:dyDescent="0.3">
      <c r="A27" s="14" t="s">
        <v>33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49"/>
      <c r="S27" s="15"/>
      <c r="T27" s="15"/>
      <c r="U27" s="15"/>
      <c r="V27" s="15"/>
      <c r="W27" s="15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49"/>
      <c r="AY27" s="49"/>
      <c r="AZ27" s="49"/>
      <c r="BA27" s="44"/>
      <c r="BB27" s="16"/>
      <c r="BC27" s="16"/>
      <c r="BD27" s="16">
        <v>9.938135102574936</v>
      </c>
      <c r="BE27" s="16">
        <v>10.980055706557657</v>
      </c>
      <c r="BF27" s="16">
        <v>10.825578478073856</v>
      </c>
      <c r="BG27" s="16">
        <v>10.183452083452957</v>
      </c>
      <c r="BH27" s="16">
        <v>9.7862083375284037</v>
      </c>
      <c r="BI27" s="16"/>
      <c r="BJ27" s="16"/>
      <c r="BK27" s="67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</row>
    <row r="28" spans="1:88" ht="20.149999999999999" customHeight="1" x14ac:dyDescent="0.25">
      <c r="A28" s="12" t="s">
        <v>28</v>
      </c>
      <c r="B28" s="63">
        <v>25.756122490995804</v>
      </c>
      <c r="C28" s="63">
        <v>27.445842841520385</v>
      </c>
      <c r="D28" s="63">
        <v>25.511314484100634</v>
      </c>
      <c r="E28" s="63">
        <v>24.003653933238052</v>
      </c>
      <c r="F28" s="63">
        <v>24.338749001630756</v>
      </c>
      <c r="G28" s="63">
        <v>23.358290001711406</v>
      </c>
      <c r="H28" s="63">
        <v>22.245663623238507</v>
      </c>
      <c r="I28" s="63">
        <v>22.397055422932265</v>
      </c>
      <c r="J28" s="63">
        <v>22.052756402316614</v>
      </c>
      <c r="K28" s="63">
        <v>20.461734292948297</v>
      </c>
      <c r="L28" s="13">
        <v>20.088825459038041</v>
      </c>
      <c r="M28" s="13">
        <v>20.253205331903228</v>
      </c>
      <c r="N28" s="13">
        <v>19.614072918578334</v>
      </c>
      <c r="O28" s="13">
        <v>20.022497617425088</v>
      </c>
      <c r="P28" s="13">
        <v>17.939606477366667</v>
      </c>
      <c r="Q28" s="13">
        <v>18.342175362215496</v>
      </c>
      <c r="R28" s="94">
        <f t="shared" ref="R28:R32" si="16">+(Q28+S28)/2</f>
        <v>17.475624413436421</v>
      </c>
      <c r="S28" s="13">
        <v>16.609073464657349</v>
      </c>
      <c r="T28" s="13">
        <v>17.150619096356799</v>
      </c>
      <c r="U28" s="13">
        <v>15.475291102227578</v>
      </c>
      <c r="V28" s="13">
        <v>17.628163579983696</v>
      </c>
      <c r="W28" s="13">
        <v>16.990572574470949</v>
      </c>
      <c r="X28" s="13">
        <v>18.537054246117915</v>
      </c>
      <c r="Y28" s="13">
        <v>19.459654934175465</v>
      </c>
      <c r="Z28" s="13">
        <v>18.501532571057943</v>
      </c>
      <c r="AA28" s="13">
        <v>19.110166274390707</v>
      </c>
      <c r="AB28" s="13">
        <v>17.150606455090159</v>
      </c>
      <c r="AC28" s="13">
        <v>19.428680034885971</v>
      </c>
      <c r="AD28" s="13">
        <v>16.45067386179128</v>
      </c>
      <c r="AE28" s="13">
        <v>15.362076720426654</v>
      </c>
      <c r="AF28" s="13">
        <v>14.658149119680358</v>
      </c>
      <c r="AG28" s="13">
        <v>15.655055535605159</v>
      </c>
      <c r="AH28" s="13">
        <v>17.134504917585698</v>
      </c>
      <c r="AI28" s="13">
        <v>14.315920674842531</v>
      </c>
      <c r="AJ28" s="13">
        <v>13.934970167255134</v>
      </c>
      <c r="AK28" s="13">
        <v>14.616517199839379</v>
      </c>
      <c r="AL28" s="13">
        <v>15.166816683240375</v>
      </c>
      <c r="AM28" s="13">
        <v>16.034079625892829</v>
      </c>
      <c r="AN28" s="13">
        <v>14.522437158283019</v>
      </c>
      <c r="AO28" s="13">
        <v>15.832662251220272</v>
      </c>
      <c r="AP28" s="13">
        <v>14.948038029857019</v>
      </c>
      <c r="AQ28" s="13">
        <v>14.501867421451061</v>
      </c>
      <c r="AR28" s="13">
        <v>14.733215033237682</v>
      </c>
      <c r="AS28" s="13">
        <v>16.147653224548552</v>
      </c>
      <c r="AT28" s="13">
        <v>16.098256718326034</v>
      </c>
      <c r="AU28" s="13">
        <v>16.064804097399747</v>
      </c>
      <c r="AV28" s="13">
        <v>13.033089461903909</v>
      </c>
      <c r="AW28" s="13">
        <v>16.019943664648377</v>
      </c>
      <c r="AX28" s="94">
        <f t="shared" ref="AX28:AX32" si="17">+(AW28+BA28)/2</f>
        <v>17.434734126746132</v>
      </c>
      <c r="AY28" s="94">
        <f t="shared" ref="AY28:AY32" si="18">+(AX28+BA28)/2</f>
        <v>18.14212935779501</v>
      </c>
      <c r="AZ28" s="94">
        <f t="shared" ref="AZ28:AZ32" si="19">+(AY28+BA28)/2</f>
        <v>18.495826973319449</v>
      </c>
      <c r="BA28" s="45">
        <v>18.849524588843888</v>
      </c>
      <c r="BB28" s="13">
        <v>18.059817368479425</v>
      </c>
      <c r="BC28" s="13">
        <v>17.836709387695286</v>
      </c>
      <c r="BD28" s="13">
        <v>18.576300740309957</v>
      </c>
      <c r="BE28" s="13">
        <v>25.391892376476534</v>
      </c>
      <c r="BF28" s="13">
        <v>18.545832042734077</v>
      </c>
      <c r="BG28" s="13">
        <v>21.454509464205412</v>
      </c>
      <c r="BH28" s="13">
        <v>17.416717230125105</v>
      </c>
      <c r="BI28" s="13">
        <v>19.660027057301708</v>
      </c>
      <c r="BJ28" s="13">
        <v>19.847216581580042</v>
      </c>
      <c r="BK28" s="63">
        <v>21.900549950368983</v>
      </c>
      <c r="BL28" s="13">
        <v>21.330990896675907</v>
      </c>
      <c r="BM28" s="13">
        <v>21.786417848267948</v>
      </c>
      <c r="BN28" s="13">
        <v>21.238200722641391</v>
      </c>
      <c r="BO28" s="13">
        <v>20.975914066276001</v>
      </c>
      <c r="BP28" s="13">
        <v>20.909383074388682</v>
      </c>
      <c r="BQ28" s="13">
        <v>16.370074763139051</v>
      </c>
      <c r="BR28" s="13">
        <v>20.285917899579651</v>
      </c>
      <c r="BS28" s="13">
        <v>26.047048979337937</v>
      </c>
      <c r="BT28" s="13">
        <v>22.176776445160947</v>
      </c>
      <c r="BU28" s="13">
        <v>21.287583326517076</v>
      </c>
      <c r="BV28" s="13">
        <v>20.490194679489925</v>
      </c>
      <c r="BW28" s="13">
        <v>22.461779675464861</v>
      </c>
      <c r="BX28" s="13">
        <v>17.907306494167294</v>
      </c>
      <c r="BY28" s="13">
        <v>21.931176062530465</v>
      </c>
      <c r="BZ28" s="13">
        <v>20.682812572047307</v>
      </c>
      <c r="CA28" s="13">
        <v>18.572520670357889</v>
      </c>
      <c r="CB28" s="13">
        <v>14.976628252858838</v>
      </c>
      <c r="CC28" s="13">
        <v>18.193375224157705</v>
      </c>
      <c r="CD28" s="13">
        <v>20.621702339306331</v>
      </c>
      <c r="CE28" s="13">
        <v>18.419140653303735</v>
      </c>
      <c r="CF28" s="13">
        <v>20.50392892873683</v>
      </c>
      <c r="CG28" s="13">
        <v>18.992404741475198</v>
      </c>
      <c r="CH28" s="13">
        <v>21.764113354523886</v>
      </c>
      <c r="CI28" s="13">
        <v>19.842087420435522</v>
      </c>
      <c r="CJ28" s="13">
        <v>19.954060914119339</v>
      </c>
    </row>
    <row r="29" spans="1:88" ht="20.149999999999999" customHeight="1" x14ac:dyDescent="0.25">
      <c r="A29" s="12" t="s">
        <v>29</v>
      </c>
      <c r="B29" s="63">
        <v>20.641869013157923</v>
      </c>
      <c r="C29" s="63">
        <v>17.376678012132775</v>
      </c>
      <c r="D29" s="63">
        <v>19.129035390864015</v>
      </c>
      <c r="E29" s="63">
        <v>19.371593650151059</v>
      </c>
      <c r="F29" s="63">
        <v>18.566063614974322</v>
      </c>
      <c r="G29" s="63">
        <v>15.917997226432451</v>
      </c>
      <c r="H29" s="63">
        <v>14.886710070790057</v>
      </c>
      <c r="I29" s="63">
        <v>15.551548483072622</v>
      </c>
      <c r="J29" s="63">
        <v>16.428389287187915</v>
      </c>
      <c r="K29" s="63">
        <v>14.023936150889661</v>
      </c>
      <c r="L29" s="13">
        <v>14.90026730446457</v>
      </c>
      <c r="M29" s="13">
        <v>15.321912463950547</v>
      </c>
      <c r="N29" s="13">
        <v>12.767658806843707</v>
      </c>
      <c r="O29" s="13">
        <v>12.615680024910208</v>
      </c>
      <c r="P29" s="13">
        <v>11.608710841970421</v>
      </c>
      <c r="Q29" s="13">
        <v>12.516431096628686</v>
      </c>
      <c r="R29" s="94">
        <f t="shared" si="16"/>
        <v>11.674125065737549</v>
      </c>
      <c r="S29" s="13">
        <v>10.831819034846411</v>
      </c>
      <c r="T29" s="13">
        <v>9.4169501758703191</v>
      </c>
      <c r="U29" s="13">
        <v>9.5918177865332872</v>
      </c>
      <c r="V29" s="13">
        <v>10.752702631269004</v>
      </c>
      <c r="W29" s="13">
        <v>10.581688059092698</v>
      </c>
      <c r="X29" s="13">
        <v>9.9109901406861987</v>
      </c>
      <c r="Y29" s="13">
        <v>13.571242017106599</v>
      </c>
      <c r="Z29" s="13">
        <v>13.191716301024689</v>
      </c>
      <c r="AA29" s="13">
        <v>11.662427552849936</v>
      </c>
      <c r="AB29" s="13">
        <v>11.060983787709672</v>
      </c>
      <c r="AC29" s="13">
        <v>11.711072566352584</v>
      </c>
      <c r="AD29" s="13">
        <v>9.0957761168086204</v>
      </c>
      <c r="AE29" s="13">
        <v>8.5331990363088188</v>
      </c>
      <c r="AF29" s="13">
        <v>10.121284898351874</v>
      </c>
      <c r="AG29" s="13">
        <v>8.9957899577273537</v>
      </c>
      <c r="AH29" s="13">
        <v>9.8827387634977928</v>
      </c>
      <c r="AI29" s="13">
        <v>9.7647290068929617</v>
      </c>
      <c r="AJ29" s="13">
        <v>7.7719279734576405</v>
      </c>
      <c r="AK29" s="13">
        <v>13.198304266616297</v>
      </c>
      <c r="AL29" s="13">
        <v>10.831190986491869</v>
      </c>
      <c r="AM29" s="13">
        <v>10.371914094111027</v>
      </c>
      <c r="AN29" s="13">
        <v>9.3582447788717786</v>
      </c>
      <c r="AO29" s="13">
        <v>11.56719531328041</v>
      </c>
      <c r="AP29" s="13">
        <v>9.7271903725004574</v>
      </c>
      <c r="AQ29" s="13">
        <v>8.5764843852439103</v>
      </c>
      <c r="AR29" s="13">
        <v>10.206708579027888</v>
      </c>
      <c r="AS29" s="13">
        <v>11.402738362972704</v>
      </c>
      <c r="AT29" s="13">
        <v>10.463117075716687</v>
      </c>
      <c r="AU29" s="13">
        <v>10.625287801858608</v>
      </c>
      <c r="AV29" s="13">
        <v>9.2702058874262327</v>
      </c>
      <c r="AW29" s="13">
        <v>10.780152323908602</v>
      </c>
      <c r="AX29" s="94">
        <f t="shared" si="17"/>
        <v>12.12952382505661</v>
      </c>
      <c r="AY29" s="94">
        <f t="shared" si="18"/>
        <v>12.804209575630615</v>
      </c>
      <c r="AZ29" s="94">
        <f t="shared" si="19"/>
        <v>13.141552450917617</v>
      </c>
      <c r="BA29" s="46">
        <v>13.478895326204618</v>
      </c>
      <c r="BB29" s="13">
        <v>12.269632222163942</v>
      </c>
      <c r="BC29" s="13">
        <v>10.866360629136802</v>
      </c>
      <c r="BD29" s="13">
        <v>12.03642146702645</v>
      </c>
      <c r="BE29" s="13">
        <v>21.090579353503173</v>
      </c>
      <c r="BF29" s="13">
        <v>12.983251114063366</v>
      </c>
      <c r="BG29" s="13">
        <v>10.787624465352772</v>
      </c>
      <c r="BH29" s="13">
        <v>10.692790956735559</v>
      </c>
      <c r="BI29" s="13">
        <v>12.553599621175216</v>
      </c>
      <c r="BJ29" s="13">
        <v>13.420612880476918</v>
      </c>
      <c r="BK29" s="63">
        <v>14.885859285854783</v>
      </c>
      <c r="BL29" s="13">
        <v>13.319753501034565</v>
      </c>
      <c r="BM29" s="13">
        <v>15.507826506080752</v>
      </c>
      <c r="BN29" s="13">
        <v>15.219950336250173</v>
      </c>
      <c r="BO29" s="13">
        <v>14.884574873087027</v>
      </c>
      <c r="BP29" s="13">
        <v>12.88212312666848</v>
      </c>
      <c r="BQ29" s="13">
        <v>8.9319440866305762</v>
      </c>
      <c r="BR29" s="13">
        <v>16.647449041611619</v>
      </c>
      <c r="BS29" s="13">
        <v>15.405004475936115</v>
      </c>
      <c r="BT29" s="13">
        <v>12.793690733300087</v>
      </c>
      <c r="BU29" s="13">
        <v>14.204513923891854</v>
      </c>
      <c r="BV29" s="13">
        <v>14.401536508770887</v>
      </c>
      <c r="BW29" s="13">
        <v>14.184726903292209</v>
      </c>
      <c r="BX29" s="13">
        <v>10.961127769463646</v>
      </c>
      <c r="BY29" s="13">
        <v>13.594379824194281</v>
      </c>
      <c r="BZ29" s="13">
        <v>12.390025968469317</v>
      </c>
      <c r="CA29" s="13">
        <v>14.189827759071783</v>
      </c>
      <c r="CB29" s="13">
        <v>12.083490575372792</v>
      </c>
      <c r="CC29" s="13">
        <v>12.218086032741207</v>
      </c>
      <c r="CD29" s="13">
        <v>13.539983538244726</v>
      </c>
      <c r="CE29" s="13">
        <v>13.103335892124901</v>
      </c>
      <c r="CF29" s="13">
        <v>13.265902661088733</v>
      </c>
      <c r="CG29" s="13">
        <v>14.076194191603019</v>
      </c>
      <c r="CH29" s="13">
        <v>13.690668665346111</v>
      </c>
      <c r="CI29" s="13">
        <v>13.575635617371343</v>
      </c>
      <c r="CJ29" s="13">
        <v>11.047765586970963</v>
      </c>
    </row>
    <row r="30" spans="1:88" ht="20.149999999999999" customHeight="1" x14ac:dyDescent="0.25">
      <c r="A30" s="12" t="s">
        <v>30</v>
      </c>
      <c r="B30" s="63">
        <v>13.611732471008859</v>
      </c>
      <c r="C30" s="63">
        <v>14.280517348308924</v>
      </c>
      <c r="D30" s="63">
        <v>13.377864256410785</v>
      </c>
      <c r="E30" s="63">
        <v>13.620927549333301</v>
      </c>
      <c r="F30" s="63">
        <v>13.135127275808545</v>
      </c>
      <c r="G30" s="63">
        <v>11.977497239090365</v>
      </c>
      <c r="H30" s="63">
        <v>9.8967087783983079</v>
      </c>
      <c r="I30" s="63">
        <v>11.507793932454465</v>
      </c>
      <c r="J30" s="63">
        <v>11.491237094119407</v>
      </c>
      <c r="K30" s="63">
        <v>11.107633426539566</v>
      </c>
      <c r="L30" s="13">
        <v>8.9513035075257505</v>
      </c>
      <c r="M30" s="13">
        <v>10.358844499078058</v>
      </c>
      <c r="N30" s="13">
        <v>9.208763758804297</v>
      </c>
      <c r="O30" s="13">
        <v>9.1342319397515759</v>
      </c>
      <c r="P30" s="13">
        <v>8.558903598121983</v>
      </c>
      <c r="Q30" s="13">
        <v>8.1796592792526202</v>
      </c>
      <c r="R30" s="94">
        <f t="shared" si="16"/>
        <v>8.2053425497924124</v>
      </c>
      <c r="S30" s="13">
        <v>8.2310258203322029</v>
      </c>
      <c r="T30" s="13">
        <v>7.1692608807416498</v>
      </c>
      <c r="U30" s="13">
        <v>8.8271585685825791</v>
      </c>
      <c r="V30" s="13">
        <v>7.9912213239293957</v>
      </c>
      <c r="W30" s="13">
        <v>8.2699687602228948</v>
      </c>
      <c r="X30" s="13">
        <v>7.6223976715363833</v>
      </c>
      <c r="Y30" s="13">
        <v>9.0437461064580873</v>
      </c>
      <c r="Z30" s="13">
        <v>9.1845763352024363</v>
      </c>
      <c r="AA30" s="13">
        <v>9.3766509390997026</v>
      </c>
      <c r="AB30" s="13">
        <v>8.914917421982155</v>
      </c>
      <c r="AC30" s="13">
        <v>8.5258407816544981</v>
      </c>
      <c r="AD30" s="13">
        <v>8.7533847487466367</v>
      </c>
      <c r="AE30" s="13">
        <v>7.3639036941738647</v>
      </c>
      <c r="AF30" s="13">
        <v>7.5115612011941693</v>
      </c>
      <c r="AG30" s="13">
        <v>7.8365657895723251</v>
      </c>
      <c r="AH30" s="13">
        <v>7.6631814447706521</v>
      </c>
      <c r="AI30" s="13">
        <v>8.8484992674772425</v>
      </c>
      <c r="AJ30" s="13">
        <v>7.1753657426316204</v>
      </c>
      <c r="AK30" s="13">
        <v>7.9954220293156046</v>
      </c>
      <c r="AL30" s="13">
        <v>7.9151929393808693</v>
      </c>
      <c r="AM30" s="13">
        <v>7.8571212962594741</v>
      </c>
      <c r="AN30" s="13">
        <v>7.108840390047015</v>
      </c>
      <c r="AO30" s="13">
        <v>10.202832421149715</v>
      </c>
      <c r="AP30" s="13">
        <v>9.347284591253322</v>
      </c>
      <c r="AQ30" s="13">
        <v>7.4628943921281445</v>
      </c>
      <c r="AR30" s="13">
        <v>6.6158966029772763</v>
      </c>
      <c r="AS30" s="13">
        <v>7.7720529506500995</v>
      </c>
      <c r="AT30" s="13">
        <v>9.5501789398063632</v>
      </c>
      <c r="AU30" s="13">
        <v>8.2427556021220827</v>
      </c>
      <c r="AV30" s="13">
        <v>7.3609441357870997</v>
      </c>
      <c r="AW30" s="13">
        <v>7.8857309646286815</v>
      </c>
      <c r="AX30" s="94">
        <f t="shared" si="17"/>
        <v>9.0659825678250527</v>
      </c>
      <c r="AY30" s="94">
        <f t="shared" si="18"/>
        <v>9.6561083694232401</v>
      </c>
      <c r="AZ30" s="94">
        <f t="shared" si="19"/>
        <v>9.9511712702223321</v>
      </c>
      <c r="BA30" s="46">
        <v>10.246234171021426</v>
      </c>
      <c r="BB30" s="13">
        <v>8.4324190405072255</v>
      </c>
      <c r="BC30" s="13">
        <v>9.9994716483736514</v>
      </c>
      <c r="BD30" s="13">
        <v>8.6423962386619628</v>
      </c>
      <c r="BE30" s="13">
        <v>18.393936191808326</v>
      </c>
      <c r="BF30" s="13">
        <v>10.4215229407191</v>
      </c>
      <c r="BG30" s="13">
        <v>8.9988820695780589</v>
      </c>
      <c r="BH30" s="13">
        <v>9.6301473143662371</v>
      </c>
      <c r="BI30" s="13">
        <v>10.394201698484851</v>
      </c>
      <c r="BJ30" s="13">
        <v>11.170514461574314</v>
      </c>
      <c r="BK30" s="63">
        <v>11.43190096035768</v>
      </c>
      <c r="BL30" s="13">
        <v>9.4564529142323988</v>
      </c>
      <c r="BM30" s="13">
        <v>12.827831556778429</v>
      </c>
      <c r="BN30" s="13">
        <v>11.265134768406238</v>
      </c>
      <c r="BO30" s="13">
        <v>12.206136388120026</v>
      </c>
      <c r="BP30" s="13">
        <v>10.224379762067812</v>
      </c>
      <c r="BQ30" s="13">
        <v>10.220020668801592</v>
      </c>
      <c r="BR30" s="13">
        <v>14.009524247779687</v>
      </c>
      <c r="BS30" s="13">
        <v>16.704714337010511</v>
      </c>
      <c r="BT30" s="13">
        <v>8.6470872110696462</v>
      </c>
      <c r="BU30" s="13">
        <v>9.2187124176787645</v>
      </c>
      <c r="BV30" s="13">
        <v>10.85984251580448</v>
      </c>
      <c r="BW30" s="13">
        <v>8.6304892429652789</v>
      </c>
      <c r="BX30" s="13">
        <v>10.680895760934417</v>
      </c>
      <c r="BY30" s="13">
        <v>9.2623901415188605</v>
      </c>
      <c r="BZ30" s="13">
        <v>10.834536046349081</v>
      </c>
      <c r="CA30" s="13">
        <v>10.352420815399361</v>
      </c>
      <c r="CB30" s="13">
        <v>9.5942145984543945</v>
      </c>
      <c r="CC30" s="13">
        <v>9.0865809353374978</v>
      </c>
      <c r="CD30" s="13">
        <v>7.9010998361286537</v>
      </c>
      <c r="CE30" s="13">
        <v>9.5786027202013138</v>
      </c>
      <c r="CF30" s="13">
        <v>7.157016584158125</v>
      </c>
      <c r="CG30" s="13">
        <v>12.773660955754828</v>
      </c>
      <c r="CH30" s="13">
        <v>11.034957721025066</v>
      </c>
      <c r="CI30" s="13">
        <v>12.365015184103552</v>
      </c>
      <c r="CJ30" s="13">
        <v>7.7988503475379005</v>
      </c>
    </row>
    <row r="31" spans="1:88" ht="20.149999999999999" customHeight="1" x14ac:dyDescent="0.25">
      <c r="A31" s="12" t="s">
        <v>31</v>
      </c>
      <c r="B31" s="63">
        <v>11.680562702008721</v>
      </c>
      <c r="C31" s="63">
        <v>10.878931076735256</v>
      </c>
      <c r="D31" s="63">
        <v>10.137013567328788</v>
      </c>
      <c r="E31" s="63">
        <v>10.319852616931415</v>
      </c>
      <c r="F31" s="63">
        <v>9.2098676443174057</v>
      </c>
      <c r="G31" s="63">
        <v>10.53987535660548</v>
      </c>
      <c r="H31" s="63">
        <v>8.2905963328461407</v>
      </c>
      <c r="I31" s="63">
        <v>8.6243254516420009</v>
      </c>
      <c r="J31" s="63">
        <v>9.478954714214586</v>
      </c>
      <c r="K31" s="63">
        <v>7.7576328469426983</v>
      </c>
      <c r="L31" s="13">
        <v>5.3810257805761523</v>
      </c>
      <c r="M31" s="13">
        <v>8.7705634187248869</v>
      </c>
      <c r="N31" s="13">
        <v>7.4473116143617482</v>
      </c>
      <c r="O31" s="13">
        <v>7.2147153050061652</v>
      </c>
      <c r="P31" s="13">
        <v>5.1276267373757456</v>
      </c>
      <c r="Q31" s="13">
        <v>6.3080515467384135</v>
      </c>
      <c r="R31" s="94">
        <f t="shared" si="16"/>
        <v>6.2694486911872769</v>
      </c>
      <c r="S31" s="13">
        <v>6.2308458356361394</v>
      </c>
      <c r="T31" s="13">
        <v>4.4199064800884997</v>
      </c>
      <c r="U31" s="13">
        <v>5.9985065060279101</v>
      </c>
      <c r="V31" s="13">
        <v>5.7484472269633633</v>
      </c>
      <c r="W31" s="13">
        <v>5.953287091031858</v>
      </c>
      <c r="X31" s="13">
        <v>5.4949568408047567</v>
      </c>
      <c r="Y31" s="13">
        <v>6.3537187502032912</v>
      </c>
      <c r="Z31" s="13">
        <v>7.2848177023393221</v>
      </c>
      <c r="AA31" s="13">
        <v>7.3004725115909537</v>
      </c>
      <c r="AB31" s="13">
        <v>5.7226904241771663</v>
      </c>
      <c r="AC31" s="13">
        <v>6.2468489967466638</v>
      </c>
      <c r="AD31" s="13">
        <v>6.3050679482480083</v>
      </c>
      <c r="AE31" s="13">
        <v>6.2204850877251081</v>
      </c>
      <c r="AF31" s="13">
        <v>6.1836993480188074</v>
      </c>
      <c r="AG31" s="13">
        <v>5.9635565509816173</v>
      </c>
      <c r="AH31" s="13">
        <v>5.9002081120977898</v>
      </c>
      <c r="AI31" s="13">
        <v>5.7046786418284023</v>
      </c>
      <c r="AJ31" s="13">
        <v>4.9423978710526084</v>
      </c>
      <c r="AK31" s="13">
        <v>6.9126374827483819</v>
      </c>
      <c r="AL31" s="13">
        <v>6.3851803457498164</v>
      </c>
      <c r="AM31" s="13">
        <v>6.6574747656495594</v>
      </c>
      <c r="AN31" s="13">
        <v>5.0866662649824246</v>
      </c>
      <c r="AO31" s="13">
        <v>7.0604648107912835</v>
      </c>
      <c r="AP31" s="13">
        <v>6.1673782254838736</v>
      </c>
      <c r="AQ31" s="13">
        <v>5.2337037822030963</v>
      </c>
      <c r="AR31" s="13">
        <v>5.7157960645843389</v>
      </c>
      <c r="AS31" s="13">
        <v>6.8632301139558889</v>
      </c>
      <c r="AT31" s="13">
        <v>6.432597408422307</v>
      </c>
      <c r="AU31" s="13">
        <v>6.0376734752031913</v>
      </c>
      <c r="AV31" s="13">
        <v>4.9574086968720756</v>
      </c>
      <c r="AW31" s="13">
        <v>6.5789246669852472</v>
      </c>
      <c r="AX31" s="94">
        <f t="shared" si="17"/>
        <v>7.2583856576174055</v>
      </c>
      <c r="AY31" s="94">
        <f t="shared" si="18"/>
        <v>7.5981161529334846</v>
      </c>
      <c r="AZ31" s="94">
        <f t="shared" si="19"/>
        <v>7.7679814005915242</v>
      </c>
      <c r="BA31" s="46">
        <v>7.9378466482495638</v>
      </c>
      <c r="BB31" s="13">
        <v>7.7817251207255884</v>
      </c>
      <c r="BC31" s="13">
        <v>6.4845423915190716</v>
      </c>
      <c r="BD31" s="13">
        <v>5.2514021872244872</v>
      </c>
      <c r="BE31" s="13">
        <v>13.456525432977429</v>
      </c>
      <c r="BF31" s="13">
        <v>7.9451035192049284</v>
      </c>
      <c r="BG31" s="13">
        <v>6.7300339509426443</v>
      </c>
      <c r="BH31" s="13">
        <v>7.9629144815963215</v>
      </c>
      <c r="BI31" s="13">
        <v>7.6457579889725498</v>
      </c>
      <c r="BJ31" s="13">
        <v>7.305802962628416</v>
      </c>
      <c r="BK31" s="63">
        <v>7.1714055555268468</v>
      </c>
      <c r="BL31" s="13">
        <v>7.5268544732883509</v>
      </c>
      <c r="BM31" s="13">
        <v>7.9409084299340753</v>
      </c>
      <c r="BN31" s="13">
        <v>8.7888307584485528</v>
      </c>
      <c r="BO31" s="13">
        <v>8.867244922606849</v>
      </c>
      <c r="BP31" s="13">
        <v>6.6307754788813806</v>
      </c>
      <c r="BQ31" s="13">
        <v>5.4022819717384252</v>
      </c>
      <c r="BR31" s="13">
        <v>8.669947602645971</v>
      </c>
      <c r="BS31" s="13">
        <v>8.710898366789559</v>
      </c>
      <c r="BT31" s="13">
        <v>5.7370916179707061</v>
      </c>
      <c r="BU31" s="13">
        <v>8.5810231700110187</v>
      </c>
      <c r="BV31" s="13">
        <v>7.3815338160888091</v>
      </c>
      <c r="BW31" s="13">
        <v>6.6317946296593195</v>
      </c>
      <c r="BX31" s="13">
        <v>5.5188475214523347</v>
      </c>
      <c r="BY31" s="13">
        <v>7.7576474718740061</v>
      </c>
      <c r="BZ31" s="13">
        <v>7.4285095881427452</v>
      </c>
      <c r="CA31" s="13">
        <v>6.8676052119215223</v>
      </c>
      <c r="CB31" s="13">
        <v>6.005215611378107</v>
      </c>
      <c r="CC31" s="13">
        <v>6.7973141366419538</v>
      </c>
      <c r="CD31" s="13">
        <v>5.6666173092185659</v>
      </c>
      <c r="CE31" s="13">
        <v>6.5391304115264033</v>
      </c>
      <c r="CF31" s="13">
        <v>6.2827246204776488</v>
      </c>
      <c r="CG31" s="13">
        <v>7.4138696870316574</v>
      </c>
      <c r="CH31" s="13">
        <v>6.5411921858569322</v>
      </c>
      <c r="CI31" s="13">
        <v>6.9049527985061827</v>
      </c>
      <c r="CJ31" s="13">
        <v>5.5019043047992628</v>
      </c>
    </row>
    <row r="32" spans="1:88" ht="20.149999999999999" customHeight="1" thickBot="1" x14ac:dyDescent="0.3">
      <c r="A32" s="21" t="s">
        <v>32</v>
      </c>
      <c r="B32" s="65">
        <v>7.736620131025389</v>
      </c>
      <c r="C32" s="65">
        <v>7.6297148991885901</v>
      </c>
      <c r="D32" s="65">
        <v>5.8229634476085215</v>
      </c>
      <c r="E32" s="65">
        <v>6.008335103411925</v>
      </c>
      <c r="F32" s="65">
        <v>7.6440472109892159</v>
      </c>
      <c r="G32" s="65">
        <v>6.3075810887325083</v>
      </c>
      <c r="H32" s="65">
        <v>4.8301695259364532</v>
      </c>
      <c r="I32" s="65">
        <v>4.1401743411755998</v>
      </c>
      <c r="J32" s="65">
        <v>3.9092795448316919</v>
      </c>
      <c r="K32" s="65">
        <v>4.5388528917686584</v>
      </c>
      <c r="L32" s="22">
        <v>4.3507428390720309</v>
      </c>
      <c r="M32" s="22">
        <v>4.9712373047912344</v>
      </c>
      <c r="N32" s="22">
        <v>4.5646758580073161</v>
      </c>
      <c r="O32" s="22">
        <v>3.8970044441428908</v>
      </c>
      <c r="P32" s="22">
        <v>2.5525729562158523</v>
      </c>
      <c r="Q32" s="22">
        <v>4.4315992292870909</v>
      </c>
      <c r="R32" s="94">
        <f t="shared" si="16"/>
        <v>4.0688605205678687</v>
      </c>
      <c r="S32" s="22">
        <v>3.7061218118486456</v>
      </c>
      <c r="T32" s="22">
        <v>3.1368898296512673</v>
      </c>
      <c r="U32" s="22">
        <v>3.5484522401407843</v>
      </c>
      <c r="V32" s="22">
        <v>4.4173984675272928</v>
      </c>
      <c r="W32" s="22">
        <v>3.8898656298687726</v>
      </c>
      <c r="X32" s="22">
        <v>3.300660158933129</v>
      </c>
      <c r="Y32" s="22">
        <v>4.0810967724909615</v>
      </c>
      <c r="Z32" s="22">
        <v>4.4450108275904769</v>
      </c>
      <c r="AA32" s="22">
        <v>4.0307200055570389</v>
      </c>
      <c r="AB32" s="22">
        <v>3.3643612073512643</v>
      </c>
      <c r="AC32" s="22">
        <v>4.0103226321050141</v>
      </c>
      <c r="AD32" s="22">
        <v>3.4429726199518393</v>
      </c>
      <c r="AE32" s="22">
        <v>4.5638887033144737</v>
      </c>
      <c r="AF32" s="22">
        <v>2.5929292466543159</v>
      </c>
      <c r="AG32" s="22">
        <v>3.4084026783748973</v>
      </c>
      <c r="AH32" s="22">
        <v>3.50083749199869</v>
      </c>
      <c r="AI32" s="22">
        <v>4.2897775397102667</v>
      </c>
      <c r="AJ32" s="22">
        <v>3.1502350654666271</v>
      </c>
      <c r="AK32" s="22">
        <v>3.9142816127737881</v>
      </c>
      <c r="AL32" s="22">
        <v>3.8777214820484192</v>
      </c>
      <c r="AM32" s="22">
        <v>3.8051562474370275</v>
      </c>
      <c r="AN32" s="22">
        <v>3.3055595485005926</v>
      </c>
      <c r="AO32" s="22">
        <v>3.682089783474392</v>
      </c>
      <c r="AP32" s="22">
        <v>3.5621901955747446</v>
      </c>
      <c r="AQ32" s="22">
        <v>3.1353275478374956</v>
      </c>
      <c r="AR32" s="22">
        <v>2.8213548913914464</v>
      </c>
      <c r="AS32" s="22">
        <v>4.4056833485233904</v>
      </c>
      <c r="AT32" s="22">
        <v>3.3974876767876654</v>
      </c>
      <c r="AU32" s="22">
        <v>4.0519628604007165</v>
      </c>
      <c r="AV32" s="22">
        <v>3.19575146691143</v>
      </c>
      <c r="AW32" s="22">
        <v>3.5968480135954635</v>
      </c>
      <c r="AX32" s="94">
        <f t="shared" si="17"/>
        <v>4.5965057325915986</v>
      </c>
      <c r="AY32" s="94">
        <f t="shared" si="18"/>
        <v>5.0963345920896668</v>
      </c>
      <c r="AZ32" s="94">
        <f t="shared" si="19"/>
        <v>5.3462490218387</v>
      </c>
      <c r="BA32" s="47">
        <v>5.5961634515877341</v>
      </c>
      <c r="BB32" s="22">
        <v>3.6171886183650872</v>
      </c>
      <c r="BC32" s="22">
        <v>5.049987830553424</v>
      </c>
      <c r="BD32" s="22">
        <v>2.9948863265116632</v>
      </c>
      <c r="BE32" s="22">
        <v>5.8586242806394084</v>
      </c>
      <c r="BF32" s="22">
        <v>4.6268349538306799</v>
      </c>
      <c r="BG32" s="22">
        <v>3.3092494310147353</v>
      </c>
      <c r="BH32" s="22">
        <v>3.7368138893352949</v>
      </c>
      <c r="BI32" s="22">
        <v>3.764395639555699</v>
      </c>
      <c r="BJ32" s="22">
        <v>4.2313691374320994</v>
      </c>
      <c r="BK32" s="65">
        <v>3.93333004075172</v>
      </c>
      <c r="BL32" s="22">
        <v>4.561199531071348</v>
      </c>
      <c r="BM32" s="22">
        <v>5.2460725272359543</v>
      </c>
      <c r="BN32" s="22">
        <v>5.1542561185954243</v>
      </c>
      <c r="BO32" s="22">
        <v>5.1049835208546428</v>
      </c>
      <c r="BP32" s="22">
        <v>4.1763607512817762</v>
      </c>
      <c r="BQ32" s="22">
        <v>4.3366499065385771</v>
      </c>
      <c r="BR32" s="22">
        <v>4.0302396389940842</v>
      </c>
      <c r="BS32" s="22">
        <v>7.9819513400336524</v>
      </c>
      <c r="BT32" s="22">
        <v>3.5907620632929071</v>
      </c>
      <c r="BU32" s="22">
        <v>4.81639477479718</v>
      </c>
      <c r="BV32" s="22">
        <v>3.9923831799266276</v>
      </c>
      <c r="BW32" s="22">
        <v>3.8457178324636909</v>
      </c>
      <c r="BX32" s="22">
        <v>0.41882840418489814</v>
      </c>
      <c r="BY32" s="22">
        <v>4.1501957400266676</v>
      </c>
      <c r="BZ32" s="22">
        <v>4.6670486112563152</v>
      </c>
      <c r="CA32" s="22">
        <v>5.1266564463210287</v>
      </c>
      <c r="CB32" s="22">
        <v>2.7292467255681219</v>
      </c>
      <c r="CC32" s="22">
        <v>3.4482265982581182</v>
      </c>
      <c r="CD32" s="22">
        <v>3.4728640299759119</v>
      </c>
      <c r="CE32" s="22">
        <v>3.1570793966010537</v>
      </c>
      <c r="CF32" s="22">
        <v>3.6095920228647222</v>
      </c>
      <c r="CG32" s="22">
        <v>4.2185706993688088</v>
      </c>
      <c r="CH32" s="22">
        <v>2.0932880038305028</v>
      </c>
      <c r="CI32" s="22">
        <v>3.559806846048629</v>
      </c>
      <c r="CJ32" s="22">
        <v>4.3206817991222435</v>
      </c>
    </row>
    <row r="33" spans="1:88" ht="12.75" customHeight="1" x14ac:dyDescent="0.25">
      <c r="A33" s="28"/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18"/>
      <c r="M33" s="18"/>
      <c r="N33" s="18"/>
      <c r="O33" s="18"/>
      <c r="P33" s="18"/>
      <c r="Q33" s="18"/>
      <c r="R33" s="19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64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</row>
    <row r="34" spans="1:88" ht="24" customHeight="1" x14ac:dyDescent="0.25">
      <c r="A34" s="99" t="s">
        <v>35</v>
      </c>
      <c r="B34" s="100"/>
      <c r="C34" s="100"/>
      <c r="D34" s="100"/>
      <c r="E34" s="100"/>
      <c r="F34" s="100"/>
      <c r="G34" s="100"/>
      <c r="H34" s="100"/>
      <c r="I34" s="100"/>
      <c r="J34" s="100"/>
      <c r="K34" s="100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25"/>
      <c r="AK34" s="25"/>
      <c r="AL34" s="25"/>
      <c r="AM34" s="25"/>
      <c r="AN34" s="25"/>
      <c r="AO34" s="25"/>
      <c r="AP34" s="25"/>
      <c r="AQ34" s="31"/>
      <c r="AR34" s="31"/>
      <c r="AS34" s="32"/>
      <c r="AT34" s="32"/>
      <c r="AU34" s="34"/>
      <c r="AV34" s="34"/>
      <c r="AW34" s="36"/>
      <c r="AX34" s="37"/>
      <c r="AY34" s="37"/>
      <c r="AZ34" s="39"/>
      <c r="BA34" s="38"/>
      <c r="BB34" s="25"/>
      <c r="BC34" s="52"/>
      <c r="BD34" s="51"/>
      <c r="BE34" s="53"/>
      <c r="BF34" s="54"/>
      <c r="BG34" s="55"/>
      <c r="BH34" s="56"/>
      <c r="BI34" s="57"/>
      <c r="BJ34" s="58"/>
      <c r="BK34" s="62"/>
      <c r="BL34" s="69"/>
      <c r="BM34" s="70"/>
      <c r="BN34" s="72"/>
      <c r="BO34" s="71"/>
      <c r="BP34" s="73"/>
      <c r="BQ34" s="75"/>
      <c r="BR34" s="74"/>
      <c r="BS34" s="76"/>
      <c r="BT34" s="77"/>
      <c r="BU34" s="78"/>
      <c r="BV34" s="79"/>
      <c r="BW34" s="81"/>
      <c r="BX34" s="80"/>
      <c r="BY34" s="82"/>
      <c r="BZ34" s="83"/>
      <c r="CA34" s="84"/>
      <c r="CB34" s="85"/>
      <c r="CC34" s="86"/>
      <c r="CD34" s="87"/>
      <c r="CE34" s="88"/>
      <c r="CF34" s="89"/>
      <c r="CG34" s="90"/>
      <c r="CH34" s="91"/>
      <c r="CI34" s="92"/>
      <c r="CJ34" s="93"/>
    </row>
    <row r="35" spans="1:88" s="33" customFormat="1" ht="24" customHeight="1" x14ac:dyDescent="0.25">
      <c r="A35" s="102" t="s">
        <v>82</v>
      </c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  <c r="AH35" s="102"/>
      <c r="AI35" s="102"/>
      <c r="AJ35" s="102"/>
      <c r="AK35" s="102"/>
      <c r="AL35" s="102"/>
      <c r="AM35" s="102"/>
      <c r="AN35" s="102"/>
      <c r="AO35" s="102"/>
      <c r="AP35" s="102"/>
      <c r="AQ35" s="102"/>
      <c r="AR35" s="102"/>
      <c r="AS35" s="102"/>
      <c r="AT35" s="102"/>
      <c r="AU35" s="102"/>
      <c r="AV35" s="102"/>
      <c r="AW35" s="102"/>
      <c r="AX35" s="102"/>
      <c r="AY35" s="102"/>
      <c r="AZ35" s="102"/>
      <c r="BA35" s="102"/>
      <c r="BB35" s="102"/>
      <c r="BC35" s="102"/>
      <c r="BD35" s="102"/>
      <c r="BK35" s="62"/>
    </row>
    <row r="36" spans="1:88" s="33" customFormat="1" ht="27.75" customHeight="1" x14ac:dyDescent="0.25">
      <c r="A36" s="103" t="s">
        <v>83</v>
      </c>
      <c r="B36" s="103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  <c r="AI36" s="103"/>
      <c r="AJ36" s="103"/>
      <c r="AK36" s="103"/>
      <c r="AL36" s="103"/>
      <c r="AM36" s="103"/>
      <c r="AN36" s="103"/>
      <c r="AO36" s="103"/>
      <c r="AP36" s="103"/>
      <c r="AQ36" s="103"/>
      <c r="AR36" s="103"/>
      <c r="AS36" s="50"/>
      <c r="AT36" s="50"/>
      <c r="BK36" s="62"/>
    </row>
    <row r="37" spans="1:88" s="50" customFormat="1" ht="32.25" customHeight="1" x14ac:dyDescent="0.25">
      <c r="A37" s="103" t="s">
        <v>84</v>
      </c>
      <c r="B37" s="103"/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  <c r="AF37" s="103"/>
      <c r="AG37" s="103"/>
      <c r="AH37" s="103"/>
      <c r="AI37" s="103"/>
      <c r="AJ37" s="103"/>
      <c r="AK37" s="103"/>
      <c r="AL37" s="103"/>
      <c r="AM37" s="103"/>
      <c r="AN37" s="103"/>
      <c r="AO37" s="103"/>
      <c r="AP37" s="103"/>
      <c r="AQ37" s="103"/>
      <c r="AR37" s="103"/>
      <c r="BK37" s="33"/>
    </row>
    <row r="38" spans="1:88" s="50" customFormat="1" ht="20.149999999999999" customHeight="1" x14ac:dyDescent="0.25">
      <c r="A38" s="103" t="s">
        <v>85</v>
      </c>
      <c r="B38" s="103"/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  <c r="AF38" s="103"/>
      <c r="AG38" s="103"/>
      <c r="AH38" s="103"/>
      <c r="AI38" s="103"/>
      <c r="AJ38" s="103"/>
      <c r="AK38" s="103"/>
      <c r="AL38" s="103"/>
      <c r="AM38" s="103"/>
      <c r="AN38" s="103"/>
      <c r="AO38" s="103"/>
      <c r="AP38" s="103"/>
      <c r="AQ38" s="103"/>
      <c r="AR38" s="103"/>
      <c r="BK38" s="33"/>
    </row>
    <row r="39" spans="1:88" ht="30" customHeight="1" x14ac:dyDescent="0.25">
      <c r="A39" s="95" t="s">
        <v>119</v>
      </c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95"/>
      <c r="AD39" s="95"/>
      <c r="AE39" s="95"/>
      <c r="AF39" s="95"/>
      <c r="AG39" s="95"/>
      <c r="AH39" s="95"/>
      <c r="AI39" s="95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</row>
    <row r="40" spans="1:88" ht="20.149999999999999" customHeight="1" x14ac:dyDescent="0.25">
      <c r="A40" s="12"/>
      <c r="L40" s="23"/>
      <c r="M40" s="23"/>
      <c r="N40" s="23"/>
      <c r="O40" s="23"/>
      <c r="P40" s="23"/>
      <c r="Q40" s="23"/>
      <c r="R40" s="24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68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</row>
    <row r="41" spans="1:88" ht="20.149999999999999" customHeight="1" x14ac:dyDescent="0.25">
      <c r="A41" s="12"/>
      <c r="L41" s="23"/>
      <c r="M41" s="23"/>
      <c r="N41" s="23"/>
      <c r="O41" s="23"/>
      <c r="P41" s="23"/>
      <c r="Q41" s="23"/>
      <c r="R41" s="24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68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</row>
    <row r="42" spans="1:88" ht="12.75" customHeight="1" x14ac:dyDescent="0.25"/>
    <row r="43" spans="1:88" ht="12.75" customHeight="1" x14ac:dyDescent="0.25"/>
    <row r="44" spans="1:88" ht="12.75" customHeight="1" x14ac:dyDescent="0.25"/>
    <row r="45" spans="1:88" ht="12.75" customHeight="1" x14ac:dyDescent="0.25"/>
    <row r="46" spans="1:88" ht="12.75" customHeight="1" x14ac:dyDescent="0.25"/>
    <row r="47" spans="1:88" ht="12.75" customHeight="1" x14ac:dyDescent="0.25"/>
    <row r="48" spans="1:8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0" hidden="1" customHeight="1" x14ac:dyDescent="0.25"/>
    <row r="85" ht="0" hidden="1" customHeight="1" x14ac:dyDescent="0.25"/>
  </sheetData>
  <mergeCells count="9">
    <mergeCell ref="A39:AI39"/>
    <mergeCell ref="A1:AI1"/>
    <mergeCell ref="A2:AI2"/>
    <mergeCell ref="A3:AI3"/>
    <mergeCell ref="A34:AI34"/>
    <mergeCell ref="A35:BD35"/>
    <mergeCell ref="A36:AR36"/>
    <mergeCell ref="A37:AR37"/>
    <mergeCell ref="A38:AR38"/>
  </mergeCells>
  <phoneticPr fontId="37" type="noConversion"/>
  <printOptions horizontalCentered="1" verticalCentered="1"/>
  <pageMargins left="0.39370078740157483" right="0.39370078740157483" top="0.39370078740157483" bottom="0.39370078740157483" header="0" footer="0"/>
  <pageSetup paperSize="9" scale="1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BEL</vt:lpstr>
      <vt:lpstr>BEL!Área_de_impresión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VAXT</dc:creator>
  <cp:lastModifiedBy>WGekko</cp:lastModifiedBy>
  <cp:lastPrinted>2011-03-10T13:53:02Z</cp:lastPrinted>
  <dcterms:created xsi:type="dcterms:W3CDTF">2007-01-04T19:22:29Z</dcterms:created>
  <dcterms:modified xsi:type="dcterms:W3CDTF">2025-11-05T20:42:34Z</dcterms:modified>
</cp:coreProperties>
</file>